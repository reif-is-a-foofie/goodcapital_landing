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workbookPr defaultThemeVersion="124226"/>
  <bookViews>
    <workbookView xWindow="0" yWindow="0" windowWidth="22000" windowHeight="12400"/>
  </bookViews>
  <sheets>
    <sheet name="Inputs" sheetId="1" r:id="rId1"/>
    <sheet name="Summary" sheetId="2" r:id="rId2"/>
    <sheet name="Monthly_Model" sheetId="3" r:id="rId3"/>
    <sheet name="Notes" sheetId="4" r:id="rId4"/>
  </sheets>
  <calcPr calcId="191029" calcMode="auto" fullCalcOnLoad="1" forceFullCalc="1"/>
</workbook>
</file>

<file path=xl/styles.xml><?xml version="1.0" encoding="utf-8"?>
<styleSheet xmlns="http://schemas.openxmlformats.org/spreadsheetml/2006/main">
  <numFmts count="6">
    <numFmt numFmtId="164" formatCode="$#,##0"/>
    <numFmt numFmtId="165" formatCode="$#,##0.0,,&quot;M&quot;"/>
    <numFmt numFmtId="166" formatCode="$#,##0.00,,,&quot;B&quot;"/>
    <numFmt numFmtId="167" formatCode="0.0%"/>
    <numFmt numFmtId="168" formatCode="$#,##0.00"/>
    <numFmt numFmtId="169" formatCode="0.0"/>
  </numFmts>
  <fonts count="4">
    <font>
      <sz val="11"/>
      <name val="Aptos"/>
    </font>
    <font>
      <b/>
      <sz val="20"/>
      <name val="Aptos Display"/>
    </font>
    <font>
      <b/>
      <sz val="11"/>
      <color rgb="FFFFFFFF"/>
      <name val="Aptos"/>
    </font>
    <font>
      <b/>
      <sz val="11"/>
      <name val="Aptos"/>
    </font>
  </fonts>
  <fills count="9">
    <fill>
      <patternFill patternType="none"/>
    </fill>
    <fill>
      <patternFill patternType="gray125"/>
    </fill>
    <fill>
      <patternFill patternType="solid">
        <fgColor rgb="FFF5F2EC"/>
        <bgColor indexed="64"/>
      </patternFill>
    </fill>
    <fill>
      <patternFill patternType="solid">
        <fgColor rgb="FFB38B57"/>
        <bgColor indexed="64"/>
      </patternFill>
    </fill>
    <fill>
      <patternFill patternType="solid">
        <fgColor rgb="FFF7E9BF"/>
        <bgColor indexed="64"/>
      </patternFill>
    </fill>
    <fill>
      <patternFill patternType="solid">
        <fgColor rgb="FFE4F3E8"/>
        <bgColor indexed="64"/>
      </patternFill>
    </fill>
    <fill>
      <patternFill patternType="solid">
        <fgColor rgb="FFE8EFF8"/>
        <bgColor indexed="64"/>
      </patternFill>
    </fill>
    <fill>
      <patternFill patternType="solid">
        <fgColor rgb="FFFCE8E6"/>
        <bgColor indexed="64"/>
      </patternFill>
    </fill>
    <fill>
      <patternFill patternType="solid">
        <fgColor rgb="FFF1EBE1"/>
        <bgColor indexed="64"/>
      </patternFill>
    </fill>
  </fills>
  <borders count="2">
    <border>
      <left/>
      <right/>
      <top/>
      <bottom/>
      <diagonal/>
    </border>
    <border>
      <left style="thin">
        <color rgb="FFD6C9B8"/>
      </left>
      <right style="thin">
        <color rgb="FFD6C9B8"/>
      </right>
      <top style="thin">
        <color rgb="FFD6C9B8"/>
      </top>
      <bottom style="thin">
        <color rgb="FFD6C9B8"/>
      </bottom>
      <diagonal/>
    </border>
  </borders>
  <cellStyleXfs count="1">
    <xf numFmtId="0" fontId="0" fillId="0" borderId="0"/>
  </cellStyleXfs>
  <cellXfs count="14">
    <xf numFmtId="0" fontId="0" fillId="0" borderId="0" xfId="0"/>
    <xf numFmtId="0" fontId="1" fillId="2" borderId="0" xfId="0" applyFont="1" applyFill="1"/>
    <xf numFmtId="0" fontId="2" fillId="3" borderId="1" xfId="0" applyFont="1" applyFill="1" applyBorder="1" applyAlignment="1">
      <alignment horizontal="left" vertical="center"/>
    </xf>
    <xf numFmtId="0" fontId="3" fillId="8" borderId="1" xfId="0" applyFont="1" applyFill="1" applyBorder="1"/>
    <xf numFmtId="0" fontId="0" fillId="4" borderId="1" xfId="0" applyFill="1" applyBorder="1"/>
    <xf numFmtId="169" fontId="0" fillId="4" borderId="1" xfId="0" applyNumberFormat="1" applyFill="1" applyBorder="1"/>
    <xf numFmtId="167" fontId="0" fillId="4" borderId="1" xfId="0" applyNumberFormat="1" applyFill="1" applyBorder="1"/>
    <xf numFmtId="165" fontId="3" fillId="5" borderId="1" xfId="0" applyNumberFormat="1" applyFont="1" applyFill="1" applyBorder="1"/>
    <xf numFmtId="167" fontId="3" fillId="5" borderId="1" xfId="0" applyNumberFormat="1" applyFont="1" applyFill="1" applyBorder="1"/>
    <xf numFmtId="168" fontId="3" fillId="5" borderId="1" xfId="0" applyNumberFormat="1" applyFont="1" applyFill="1" applyBorder="1"/>
    <xf numFmtId="0" fontId="0" fillId="2" borderId="1" xfId="0" applyFill="1" applyBorder="1" applyAlignment="1">
      <alignment wrapText="1" vertical="top"/>
    </xf>
    <xf numFmtId="165" fontId="0" fillId="0" borderId="1" xfId="0" applyNumberFormat="1" applyBorder="1"/>
    <xf numFmtId="167" fontId="0" fillId="0" borderId="1" xfId="0" applyNumberFormat="1" applyBorder="1"/>
    <xf numFmtId="169" fontId="0" fillId="0" borderId="1" xfId="0" applyNumberFormat="1" applyBorder="1"/>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dimension ref="A1:C22"/>
  <sheetViews>
    <sheetView workbookViewId="0">
      <pane xSplit="0" ySplit="4" topLeftCell="A5" activePane="bottomRight" state="frozen"/>
    </sheetView>
  </sheetViews>
  <cols>
    <col min="1" max="1" width="28" customWidth="1"/>
    <col min="2" max="2" width="18" customWidth="1"/>
    <col min="3" max="3" width="26" customWidth="1"/>
    <col min="4" max="4" width="26" customWidth="1"/>
  </cols>
  <sheetData>
    <row r="1">
      <c r="A1" t="inlineStr" s="1">
        <is>
          <t>TGP Fund One Model Inputs</t>
        </is>
      </c>
    </row>
    <row r="2">
      <c r="A2" t="inlineStr" s="10">
        <is>
          <t>Built by Reif Tauati · 4176197004 · reif@thegoodproject.net</t>
        </is>
      </c>
    </row>
    <row r="4">
      <c r="A4" t="inlineStr" s="2">
        <is>
          <t>Core Assumptions</t>
        </is>
      </c>
    </row>
    <row r="5">
      <c r="A5" t="inlineStr" s="3">
        <is>
          <t>Max Fund Size ($B)</t>
        </is>
      </c>
      <c r="B5" s="5">
        <v>1.0</v>
      </c>
      <c r="C5" t="inlineStr" s="2">
        <is>
          <t>Investor-facing guidance</t>
        </is>
      </c>
    </row>
    <row r="6">
      <c r="A6" t="inlineStr" s="3">
        <is>
          <t>Capital Calls On (1=yes, 0=no)</t>
        </is>
      </c>
      <c r="B6" s="5">
        <v>1</v>
      </c>
      <c r="C6" t="inlineStr" s="10">
        <is>
          <t>Max Fund Size is the hard ceiling on total LP capital called.</t>
        </is>
      </c>
    </row>
    <row r="7">
      <c r="A7" t="inlineStr" s="3">
        <is>
          <t>Hardcore Mode (1=yes, 0=no)</t>
        </is>
      </c>
      <c r="B7" s="5">
        <v>0</v>
      </c>
      <c r="C7" t="inlineStr" s="10">
        <is>
          <t>Capital Calls On means equity is called only when needed. Hardcore Mode forces fully funded upfront deployment with zero idle cash.</t>
        </is>
      </c>
    </row>
    <row r="8">
      <c r="A8" t="inlineStr" s="3">
        <is>
          <t>Loan Size ($M)</t>
        </is>
      </c>
      <c r="B8" s="5">
        <v>25.0</v>
      </c>
      <c r="C8" t="inlineStr" s="10">
        <is>
          <t>Borrower Rate is what the developer pays. Fund Take is what the fund retains after origination partners are paid.</t>
        </is>
      </c>
    </row>
    <row r="9">
      <c r="A9" t="inlineStr" s="3">
        <is>
          <t>Base Deals / Month</t>
        </is>
      </c>
      <c r="B9" s="5">
        <v>3.0</v>
      </c>
      <c r="C9" t="inlineStr" s="10">
        <is>
          <t>Debt / Equity of 0.25 means $0.25 of debt for each $1.00 of LP equity.</t>
        </is>
      </c>
    </row>
    <row r="10">
      <c r="A10" t="inlineStr" s="3">
        <is>
          <t>Loan Term (months)</t>
        </is>
      </c>
      <c r="B10" s="5">
        <v>18</v>
      </c>
    </row>
    <row r="11">
      <c r="A11" t="inlineStr" s="3">
        <is>
          <t>Debt / Equity</t>
        </is>
      </c>
      <c r="B11" s="5">
        <v>0.0</v>
      </c>
    </row>
    <row r="12">
      <c r="A12" t="inlineStr" s="3">
        <is>
          <t>Borrower Rate</t>
        </is>
      </c>
      <c r="B12" s="6">
        <v>0.25</v>
      </c>
    </row>
    <row r="13">
      <c r="A13" t="inlineStr" s="3">
        <is>
          <t>Fund Take</t>
        </is>
      </c>
      <c r="B13" s="6">
        <v>0.18</v>
      </c>
    </row>
    <row r="14">
      <c r="A14" t="inlineStr" s="3">
        <is>
          <t>Cost of Debt</t>
        </is>
      </c>
      <c r="B14" s="6">
        <v>0.08</v>
      </c>
    </row>
    <row r="15">
      <c r="A15" t="inlineStr" s="3">
        <is>
          <t>Target IRR</t>
        </is>
      </c>
      <c r="B15" s="6">
        <v>0.15</v>
      </c>
    </row>
    <row r="16">
      <c r="A16" t="inlineStr" s="3">
        <is>
          <t>View Months</t>
        </is>
      </c>
      <c r="B16" s="5">
        <v>120</v>
      </c>
    </row>
    <row r="18">
      <c r="A18" t="inlineStr" s="2">
        <is>
          <t>Derived</t>
        </is>
      </c>
    </row>
    <row r="19">
      <c r="A19" t="inlineStr" s="3">
        <is>
          <t>Just-in-Time Calls Active</t>
        </is>
      </c>
      <c r="B19" s="5">
        <f>IF(B7=1,0,B6)</f>
      </c>
    </row>
    <row r="20">
      <c r="A20" t="inlineStr" s="3">
        <is>
          <t>Total Lending Multiple</t>
        </is>
      </c>
      <c r="B20" s="5">
        <f>1+B11</f>
      </c>
    </row>
    <row r="21">
      <c r="A21" t="inlineStr" s="3">
        <is>
          <t>Shares Outstanding</t>
        </is>
      </c>
      <c r="B21" s="5">
        <f>B5*1000000000/1000</f>
      </c>
    </row>
    <row r="22">
      <c r="A22" t="inlineStr" s="3">
        <is>
          <t>Initial LP Call ($)</t>
        </is>
      </c>
      <c r="B22" s="11">
        <f>IF(B19=1,0,B5*1000000000)</f>
      </c>
    </row>
  </sheetData>
  <mergeCells count="2">
    <mergeCell ref="A1:D1"/>
    <mergeCell ref="A2:D2"/>
  </mergeCells>
  <pageMargins left="0.3" right="0.3" top="0.5" bottom="0.5" header="0.3" footer="0.3"/>
</worksheet>
</file>

<file path=xl/worksheets/sheet2.xml><?xml version="1.0" encoding="utf-8"?>
<worksheet xmlns="http://schemas.openxmlformats.org/spreadsheetml/2006/main" xmlns:r="http://schemas.openxmlformats.org/officeDocument/2006/relationships">
  <dimension ref="A1:C14"/>
  <sheetViews>
    <sheetView workbookViewId="0">
      <pane xSplit="0" ySplit="5" topLeftCell="A6" activePane="bottomRight" state="frozen"/>
    </sheetView>
  </sheetViews>
  <cols>
    <col min="1" max="1" width="28" customWidth="1"/>
    <col min="2" max="2" width="18" customWidth="1"/>
    <col min="3" max="3" width="28" customWidth="1"/>
    <col min="4" max="4" width="18" customWidth="1"/>
  </cols>
  <sheetData>
    <row r="1">
      <c r="A1" t="inlineStr" s="1">
        <is>
          <t>Fund One Excel Model Summary</t>
        </is>
      </c>
    </row>
    <row r="2">
      <c r="A2" t="inlineStr" s="10">
        <is>
          <t>Contact Reif Tauati · 4176197004 · reif@thegoodproject.net</t>
        </is>
      </c>
    </row>
    <row r="4">
      <c r="A4" t="inlineStr" s="2">
        <is>
          <t>Scenario Output</t>
        </is>
      </c>
    </row>
    <row r="5">
      <c r="A5" t="inlineStr" s="3">
        <is>
          <t>Projected IRR</t>
        </is>
      </c>
      <c r="B5" s="8">
        <f>Monthly_Model!AI127</f>
      </c>
      <c r="C5" t="inlineStr" s="2">
        <is>
          <t>How to use this workbook</t>
        </is>
      </c>
    </row>
    <row r="6">
      <c r="A6" t="inlineStr" s="3">
        <is>
          <t>Year 10 NAV / Share</t>
        </is>
      </c>
      <c r="B6" s="9">
        <f>Monthly_Model!AC127</f>
      </c>
      <c r="C6" t="inlineStr" s="10">
        <is>
          <t>Yellow cells on Inputs are editable assumptions.</t>
        </is>
      </c>
    </row>
    <row r="7">
      <c r="A7" t="inlineStr" s="3">
        <is>
          <t>Lowest Cash</t>
        </is>
      </c>
      <c r="B7" s="7">
        <f>MIN(Monthly_Model!$Z$7:$Z$127)</f>
      </c>
      <c r="C7" t="inlineStr" s="10">
        <is>
          <t>Green cells are modeled outputs.</t>
        </is>
      </c>
    </row>
    <row r="8">
      <c r="A8" t="inlineStr" s="3">
        <is>
          <t>Peak LP Capital Out</t>
        </is>
      </c>
      <c r="B8" s="7">
        <f>MAX(Monthly_Model!$AD$7:$AD$127)</f>
      </c>
      <c r="C8" t="inlineStr" s="10">
        <is>
          <t>Monthly_Model contains the full 10-year monthly build with formulas.</t>
        </is>
      </c>
    </row>
    <row r="9">
      <c r="A9" t="inlineStr" s="3">
        <is>
          <t>Peak Debt</t>
        </is>
      </c>
      <c r="B9" s="7">
        <f>MAX(Monthly_Model!$AE$7:$AE$127)</f>
      </c>
      <c r="C9" t="inlineStr" s="10">
        <is>
          <t>Hardcore Mode redeploys all available cash immediately and disables just-in-time capital calling.</t>
        </is>
      </c>
    </row>
    <row r="10">
      <c r="A10" t="inlineStr" s="3">
        <is>
          <t>Peak New Loan Volume / Month</t>
        </is>
      </c>
      <c r="B10" s="7">
        <f>MAX(Monthly_Model!$V$8:$V$127)</f>
      </c>
    </row>
    <row r="11">
      <c r="A11" t="inlineStr" s="3">
        <is>
          <t>Peak Loans / Month</t>
        </is>
      </c>
      <c r="B11" s="13">
        <f>MAX(Monthly_Model!$AG$8:$AG$127)</f>
      </c>
    </row>
    <row r="12">
      <c r="A12" t="inlineStr" s="3">
        <is>
          <t>Total LP Called</t>
        </is>
      </c>
      <c r="B12" s="7">
        <f>MAX(Monthly_Model!$AH$7:$AH$127)</f>
      </c>
    </row>
    <row r="13">
      <c r="A13" t="inlineStr" s="3">
        <is>
          <t>Total Loans Originated</t>
        </is>
      </c>
      <c r="B13" s="13">
        <f>SUM(Monthly_Model!$AG$8:$AG$127)</f>
      </c>
    </row>
    <row r="14">
      <c r="A14" t="inlineStr" s="3">
        <is>
          <t>Target vs Projected Gap</t>
        </is>
      </c>
      <c r="B14" s="8">
        <f>Monthly_Model!AI127-Inputs!B15</f>
      </c>
    </row>
  </sheetData>
  <mergeCells count="2">
    <mergeCell ref="A1:D1"/>
    <mergeCell ref="A2:D2"/>
  </mergeCells>
  <pageMargins left="0.3" right="0.3" top="0.5" bottom="0.5" header="0.3" footer="0.3"/>
</worksheet>
</file>

<file path=xl/worksheets/sheet3.xml><?xml version="1.0" encoding="utf-8"?>
<worksheet xmlns="http://schemas.openxmlformats.org/spreadsheetml/2006/main" xmlns:r="http://schemas.openxmlformats.org/officeDocument/2006/relationships">
  <dimension ref="A1:AJ127"/>
  <sheetViews>
    <sheetView workbookViewId="0">
      <pane xSplit="2" ySplit="7" topLeftCell="C8" activePane="bottomRight" state="frozen"/>
    </sheetView>
  </sheetViews>
  <cols>
    <col min="1" max="1" width="8" customWidth="1"/>
    <col min="2" max="2" width="14" customWidth="1"/>
    <col min="3" max="3" width="14" customWidth="1"/>
    <col min="4" max="4" width="14" customWidth="1"/>
    <col min="5" max="5" width="13" customWidth="1"/>
    <col min="6" max="6" width="13" customWidth="1"/>
    <col min="7" max="7" width="13" customWidth="1"/>
    <col min="8" max="8" width="13" customWidth="1"/>
    <col min="9" max="9" width="13" customWidth="1"/>
    <col min="10" max="10" width="14" customWidth="1"/>
    <col min="11" max="11" width="14" customWidth="1"/>
    <col min="12" max="12" width="15" customWidth="1"/>
    <col min="13" max="13" width="12" customWidth="1"/>
    <col min="14" max="14" width="12" customWidth="1"/>
    <col min="15" max="15" width="12" customWidth="1"/>
    <col min="16" max="16" width="12" customWidth="1"/>
    <col min="17" max="17" width="12" customWidth="1"/>
    <col min="18" max="18" width="14" customWidth="1"/>
    <col min="19" max="19" width="14" customWidth="1"/>
    <col min="20" max="20" width="14" customWidth="1"/>
    <col min="21" max="21" width="13" customWidth="1"/>
    <col min="22" max="22" width="14" customWidth="1"/>
    <col min="23" max="23" width="13" customWidth="1"/>
    <col min="24" max="24" width="13" customWidth="1"/>
    <col min="25" max="25" width="13" customWidth="1"/>
    <col min="26" max="26" width="14" customWidth="1"/>
    <col min="27" max="27" width="13" customWidth="1"/>
    <col min="28" max="28" width="14" customWidth="1"/>
    <col min="29" max="29" width="13" customWidth="1"/>
    <col min="30" max="30" width="14" customWidth="1"/>
    <col min="31" max="31" width="14" customWidth="1"/>
    <col min="32" max="32" width="14" customWidth="1"/>
    <col min="33" max="33" width="14" customWidth="1"/>
    <col min="34" max="34" width="14" customWidth="1"/>
    <col min="35" max="35" width="13" customWidth="1"/>
    <col min="36" max="36" width="13" customWidth="1"/>
  </cols>
  <sheetData>
    <row r="1">
      <c r="A1" t="inlineStr" s="1">
        <is>
          <t>10-Year Monthly Projection</t>
        </is>
      </c>
    </row>
    <row r="2">
      <c r="A2" t="inlineStr" s="10">
        <is>
          <t>Formulas trace the current /model logic. Edit Inputs and Excel will recalculate.</t>
        </is>
      </c>
    </row>
    <row r="6">
      <c r="A6" t="inlineStr" s="2">
        <is>
          <t>Month</t>
        </is>
      </c>
      <c r="B6" t="inlineStr" s="2">
        <is>
          <t>Label</t>
        </is>
      </c>
      <c r="C6" t="inlineStr" s="2">
        <is>
          <t>Opening Cash</t>
        </is>
      </c>
      <c r="D6" t="inlineStr" s="2">
        <is>
          <t>Opening NAV</t>
        </is>
      </c>
      <c r="E6" t="inlineStr" s="2">
        <is>
          <t>Carry Interest</t>
        </is>
      </c>
      <c r="F6" t="inlineStr" s="2">
        <is>
          <t>Carry Principal</t>
        </is>
      </c>
      <c r="G6" t="inlineStr" s="2">
        <is>
          <t>Active Eq Open</t>
        </is>
      </c>
      <c r="H6" t="inlineStr" s="2">
        <is>
          <t>Active Debt Open</t>
        </is>
      </c>
      <c r="I6" t="inlineStr" s="2">
        <is>
          <t>Carry Debt Cost</t>
        </is>
      </c>
      <c r="J6" t="inlineStr" s="2">
        <is>
          <t>Pre-Deploy Cash</t>
        </is>
      </c>
      <c r="K6" t="inlineStr" s="2">
        <is>
          <t>Remaining Callable</t>
        </is>
      </c>
      <c r="L6" t="inlineStr" s="2">
        <is>
          <t>Deployable Eq Cap</t>
        </is>
      </c>
      <c r="M6" t="inlineStr" s="2">
        <is>
          <t>Loan Size</t>
        </is>
      </c>
      <c r="N6" t="inlineStr" s="2">
        <is>
          <t>Base Deals</t>
        </is>
      </c>
      <c r="O6" t="inlineStr" s="2">
        <is>
          <t>Pipeline Scale</t>
        </is>
      </c>
      <c r="P6" t="inlineStr" s="2">
        <is>
          <t>Ramp</t>
        </is>
      </c>
      <c r="Q6" t="inlineStr" s="2">
        <is>
          <t>Scaled Deals</t>
        </is>
      </c>
      <c r="R6" t="inlineStr" s="2">
        <is>
          <t>Desired Orig Vol</t>
        </is>
      </c>
      <c r="S6" t="inlineStr" s="2">
        <is>
          <t>Desired Eq Deploy</t>
        </is>
      </c>
      <c r="T6" t="inlineStr" s="2">
        <is>
          <t>Actual Eq Deploy</t>
        </is>
      </c>
      <c r="U6" t="inlineStr" s="2">
        <is>
          <t>LP Call</t>
        </is>
      </c>
      <c r="V6" t="inlineStr" s="2">
        <is>
          <t>Actual Orig Vol</t>
        </is>
      </c>
      <c r="W6" t="inlineStr" s="2">
        <is>
          <t>Debt Deploy</t>
        </is>
      </c>
      <c r="X6" t="inlineStr" s="2">
        <is>
          <t>Immediate Interest</t>
        </is>
      </c>
      <c r="Y6" t="inlineStr" s="2">
        <is>
          <t>Immediate Debt Cost</t>
        </is>
      </c>
      <c r="Z6" t="inlineStr" s="2">
        <is>
          <t>Ending Cash</t>
        </is>
      </c>
      <c r="AA6" t="inlineStr" s="2">
        <is>
          <t>Ending NAV</t>
        </is>
      </c>
      <c r="AB6" t="inlineStr" s="2">
        <is>
          <t>Target NAV</t>
        </is>
      </c>
      <c r="AC6" t="inlineStr" s="2">
        <is>
          <t>NAV / Share</t>
        </is>
      </c>
      <c r="AD6" t="inlineStr" s="2">
        <is>
          <t>Active Eq Close</t>
        </is>
      </c>
      <c r="AE6" t="inlineStr" s="2">
        <is>
          <t>Active Debt Close</t>
        </is>
      </c>
      <c r="AF6" t="inlineStr" s="2">
        <is>
          <t>Loans Outstanding</t>
        </is>
      </c>
      <c r="AG6" t="inlineStr" s="2">
        <is>
          <t>New Loans / Mo</t>
        </is>
      </c>
      <c r="AH6" t="inlineStr" s="2">
        <is>
          <t>Cumulative LP Called</t>
        </is>
      </c>
      <c r="AI6" t="inlineStr" s="2">
        <is>
          <t>IRR To Date</t>
        </is>
      </c>
      <c r="AJ6" t="inlineStr" s="2">
        <is>
          <t>LP Flow Helper</t>
        </is>
      </c>
    </row>
    <row r="7">
      <c r="A7" s="13">
        <v>0</v>
      </c>
      <c r="B7" t="inlineStr" s="10">
        <is>
          <t>Start</t>
        </is>
      </c>
      <c r="C7" s="11">
        <f>Inputs!B22</f>
      </c>
      <c r="D7" s="11">
        <f>Inputs!B22</f>
      </c>
      <c r="E7" s="11">
        <v>0</v>
      </c>
      <c r="F7" s="11">
        <v>0</v>
      </c>
      <c r="G7" s="11">
        <v>0</v>
      </c>
      <c r="H7" s="11">
        <v>0</v>
      </c>
      <c r="I7" s="11">
        <v>0</v>
      </c>
      <c r="J7" s="11">
        <v>0</v>
      </c>
      <c r="K7" s="11">
        <v>0</v>
      </c>
      <c r="L7" s="11">
        <v>0</v>
      </c>
      <c r="M7" s="13">
        <v>0</v>
      </c>
      <c r="N7" s="13">
        <v>0</v>
      </c>
      <c r="O7" s="13">
        <v>0</v>
      </c>
      <c r="P7" s="13">
        <v>0</v>
      </c>
      <c r="Q7" s="13">
        <v>0</v>
      </c>
      <c r="R7" s="13">
        <v>0</v>
      </c>
      <c r="S7" s="13">
        <v>0</v>
      </c>
      <c r="T7" s="13">
        <v>0</v>
      </c>
      <c r="U7" s="13">
        <v>0</v>
      </c>
      <c r="V7" s="13">
        <v>0</v>
      </c>
      <c r="W7" s="13">
        <v>0</v>
      </c>
      <c r="X7" s="13">
        <v>0</v>
      </c>
      <c r="Y7" s="13">
        <v>0</v>
      </c>
      <c r="Z7" s="11">
        <f>C7</f>
      </c>
      <c r="AA7" s="11">
        <f>D7</f>
      </c>
      <c r="AB7" s="11">
        <f>Inputs!B22</f>
      </c>
      <c r="AC7" s="9">
        <f>IF(Inputs!B21&gt;0,AA7/Inputs!B21,0)</f>
      </c>
      <c r="AD7" s="11">
        <v>0</v>
      </c>
      <c r="AE7" s="11">
        <v>0</v>
      </c>
      <c r="AF7" s="11">
        <v>0</v>
      </c>
      <c r="AG7" s="13">
        <f>0</f>
      </c>
      <c r="AH7" s="11">
        <f>Inputs!B22</f>
      </c>
      <c r="AI7" s="8">
        <v>0</v>
      </c>
      <c r="AJ7" s="11">
        <v>0</v>
      </c>
    </row>
    <row r="8">
      <c r="A8" s="13">
        <f>A7+1</f>
      </c>
      <c r="B8" t="inlineStr" s="10">
        <is>
          <t>Month 1</t>
        </is>
      </c>
      <c r="C8" s="11">
        <f>Z7</f>
      </c>
      <c r="D8" s="11">
        <f>AA7</f>
      </c>
      <c r="E8" s="11">
        <f>IF(A8&lt;=12,0,INDEX($V$8:$V$127,A8-12)*Inputs!B13*MAX(0,Inputs!B10-12)/12)</f>
      </c>
      <c r="F8" s="11">
        <f>IF(A8&lt;=Inputs!B10,0,INDEX($T$8:$T$127,A8-Inputs!B10))</f>
      </c>
      <c r="G8" s="11">
        <f>AD7-F8</f>
      </c>
      <c r="H8" s="11">
        <f>AE7-IF(A8&lt;=Inputs!B10,0,INDEX($W$8:$W$127,A8-Inputs!B10))</f>
      </c>
      <c r="I8" s="11">
        <f>H8*Inputs!B14/12</f>
      </c>
      <c r="J8" s="11">
        <f>C8+E8+F8-I8</f>
      </c>
      <c r="K8" s="11">
        <f>IF(Inputs!B19=1,MAX(0,Inputs!B5*1000000000-AH7),0)</f>
      </c>
      <c r="L8" s="11">
        <f>MAX(0,J8+K8)</f>
      </c>
      <c r="M8" s="11">
        <f>Inputs!B8*1000000</f>
      </c>
      <c r="N8" s="13">
        <f>Inputs!B9</f>
      </c>
      <c r="O8" s="13">
        <f>MAX(1,SQRT(L8/MAX(M8*MAX(N8,0.01)/(1+Inputs!B11),1)))</f>
      </c>
      <c r="P8" s="13">
        <f>MIN(1,A8/12)</f>
      </c>
      <c r="Q8" s="13">
        <f>IF(Inputs!B7=1,MAX(N8,L8*(1+Inputs!B11)/MAX(M8,1)),N8+(N8*O8-N8)*P8)</f>
      </c>
      <c r="R8" s="11">
        <f>IF(Inputs!B7=1,L8*(1+Inputs!B11),M8*Q8)</f>
      </c>
      <c r="S8" s="11">
        <f>R8/(1+Inputs!B11)</f>
      </c>
      <c r="T8" s="11">
        <f>IF(Inputs!B7=1,L8,MIN(S8,L8))</f>
      </c>
      <c r="U8" s="11">
        <f>IF(Inputs!B19=1,MAX(0,T8-J8),0)</f>
      </c>
      <c r="V8" s="11">
        <f>T8*(1+Inputs!B11)</f>
      </c>
      <c r="W8" s="11">
        <f>V8-T8</f>
      </c>
      <c r="X8" s="11">
        <f>V8*Inputs!B13*MIN(12,Inputs!B10)/12</f>
      </c>
      <c r="Y8" s="11">
        <f>W8*Inputs!B14/12</f>
      </c>
      <c r="Z8" s="11">
        <f>J8+U8-T8+X8-Y8</f>
      </c>
      <c r="AA8" s="11">
        <f>D8+E8-I8+U8+X8-Y8</f>
      </c>
      <c r="AB8" s="11">
        <f>IF(U8&gt;0,AB7*(1+Inputs!B15/12)+U8,AB7*(1+Inputs!B15/12))</f>
      </c>
      <c r="AC8" s="9">
        <f>IF(Inputs!B21&gt;0,AA8/Inputs!B21,0)</f>
      </c>
      <c r="AD8" s="11">
        <f>G8+T8</f>
      </c>
      <c r="AE8" s="11">
        <f>H8+W8</f>
      </c>
      <c r="AF8" s="11">
        <f>AD8+AE8</f>
      </c>
      <c r="AG8" s="13">
        <f>IF(M8&gt;0,V8/M8,0)</f>
      </c>
      <c r="AH8" s="11">
        <f>AH7+U8</f>
      </c>
      <c r="AI8" s="8">
        <v>0</v>
      </c>
      <c r="AJ8" s="11">
        <f>-U8</f>
      </c>
    </row>
    <row r="9">
      <c r="A9" s="13">
        <f>A8+1</f>
      </c>
      <c r="B9" t="inlineStr" s="10">
        <is>
          <t>Month 2</t>
        </is>
      </c>
      <c r="C9" s="11">
        <f>Z8</f>
      </c>
      <c r="D9" s="11">
        <f>AA8</f>
      </c>
      <c r="E9" s="11">
        <f>IF(A9&lt;=12,0,INDEX($V$8:$V$127,A9-12)*Inputs!B13*MAX(0,Inputs!B10-12)/12)</f>
      </c>
      <c r="F9" s="11">
        <f>IF(A9&lt;=Inputs!B10,0,INDEX($T$8:$T$127,A9-Inputs!B10))</f>
      </c>
      <c r="G9" s="11">
        <f>AD8-F9</f>
      </c>
      <c r="H9" s="11">
        <f>AE8-IF(A9&lt;=Inputs!B10,0,INDEX($W$8:$W$127,A9-Inputs!B10))</f>
      </c>
      <c r="I9" s="11">
        <f>H9*Inputs!B14/12</f>
      </c>
      <c r="J9" s="11">
        <f>C9+E9+F9-I9</f>
      </c>
      <c r="K9" s="11">
        <f>IF(Inputs!B19=1,MAX(0,Inputs!B5*1000000000-AH8),0)</f>
      </c>
      <c r="L9" s="11">
        <f>MAX(0,J9+K9)</f>
      </c>
      <c r="M9" s="11">
        <f>Inputs!B8*1000000</f>
      </c>
      <c r="N9" s="13">
        <f>Inputs!B9</f>
      </c>
      <c r="O9" s="13">
        <f>MAX(1,SQRT(L9/MAX(M9*MAX(N9,0.01)/(1+Inputs!B11),1)))</f>
      </c>
      <c r="P9" s="13">
        <f>MIN(1,A9/12)</f>
      </c>
      <c r="Q9" s="13">
        <f>IF(Inputs!B7=1,MAX(N9,L9*(1+Inputs!B11)/MAX(M9,1)),N9+(N9*O9-N9)*P9)</f>
      </c>
      <c r="R9" s="11">
        <f>IF(Inputs!B7=1,L9*(1+Inputs!B11),M9*Q9)</f>
      </c>
      <c r="S9" s="11">
        <f>R9/(1+Inputs!B11)</f>
      </c>
      <c r="T9" s="11">
        <f>IF(Inputs!B7=1,L9,MIN(S9,L9))</f>
      </c>
      <c r="U9" s="11">
        <f>IF(Inputs!B19=1,MAX(0,T9-J9),0)</f>
      </c>
      <c r="V9" s="11">
        <f>T9*(1+Inputs!B11)</f>
      </c>
      <c r="W9" s="11">
        <f>V9-T9</f>
      </c>
      <c r="X9" s="11">
        <f>V9*Inputs!B13*MIN(12,Inputs!B10)/12</f>
      </c>
      <c r="Y9" s="11">
        <f>W9*Inputs!B14/12</f>
      </c>
      <c r="Z9" s="11">
        <f>J9+U9-T9+X9-Y9</f>
      </c>
      <c r="AA9" s="11">
        <f>D9+E9-I9+U9+X9-Y9</f>
      </c>
      <c r="AB9" s="11">
        <f>IF(U9&gt;0,AB8*(1+Inputs!B15/12)+U9,AB8*(1+Inputs!B15/12))</f>
      </c>
      <c r="AC9" s="9">
        <f>IF(Inputs!B21&gt;0,AA9/Inputs!B21,0)</f>
      </c>
      <c r="AD9" s="11">
        <f>G9+T9</f>
      </c>
      <c r="AE9" s="11">
        <f>H9+W9</f>
      </c>
      <c r="AF9" s="11">
        <f>AD9+AE9</f>
      </c>
      <c r="AG9" s="13">
        <f>IF(M9&gt;0,V9/M9,0)</f>
      </c>
      <c r="AH9" s="11">
        <f>AH8+U9</f>
      </c>
      <c r="AI9" s="8">
        <f>IFERROR((1+IRR(VSTACK($AJ$8:INDEX($AJ:$AJ,ROW()-1),-U9+AA9)))^12-1,0)</f>
      </c>
      <c r="AJ9" s="11">
        <f>-U9</f>
      </c>
    </row>
    <row r="10">
      <c r="A10" s="13">
        <f>A9+1</f>
      </c>
      <c r="B10" t="inlineStr" s="10">
        <is>
          <t>Month 3</t>
        </is>
      </c>
      <c r="C10" s="11">
        <f>Z9</f>
      </c>
      <c r="D10" s="11">
        <f>AA9</f>
      </c>
      <c r="E10" s="11">
        <f>IF(A10&lt;=12,0,INDEX($V$8:$V$127,A10-12)*Inputs!B13*MAX(0,Inputs!B10-12)/12)</f>
      </c>
      <c r="F10" s="11">
        <f>IF(A10&lt;=Inputs!B10,0,INDEX($T$8:$T$127,A10-Inputs!B10))</f>
      </c>
      <c r="G10" s="11">
        <f>AD9-F10</f>
      </c>
      <c r="H10" s="11">
        <f>AE9-IF(A10&lt;=Inputs!B10,0,INDEX($W$8:$W$127,A10-Inputs!B10))</f>
      </c>
      <c r="I10" s="11">
        <f>H10*Inputs!B14/12</f>
      </c>
      <c r="J10" s="11">
        <f>C10+E10+F10-I10</f>
      </c>
      <c r="K10" s="11">
        <f>IF(Inputs!B19=1,MAX(0,Inputs!B5*1000000000-AH9),0)</f>
      </c>
      <c r="L10" s="11">
        <f>MAX(0,J10+K10)</f>
      </c>
      <c r="M10" s="11">
        <f>Inputs!B8*1000000</f>
      </c>
      <c r="N10" s="13">
        <f>Inputs!B9</f>
      </c>
      <c r="O10" s="13">
        <f>MAX(1,SQRT(L10/MAX(M10*MAX(N10,0.01)/(1+Inputs!B11),1)))</f>
      </c>
      <c r="P10" s="13">
        <f>MIN(1,A10/12)</f>
      </c>
      <c r="Q10" s="13">
        <f>IF(Inputs!B7=1,MAX(N10,L10*(1+Inputs!B11)/MAX(M10,1)),N10+(N10*O10-N10)*P10)</f>
      </c>
      <c r="R10" s="11">
        <f>IF(Inputs!B7=1,L10*(1+Inputs!B11),M10*Q10)</f>
      </c>
      <c r="S10" s="11">
        <f>R10/(1+Inputs!B11)</f>
      </c>
      <c r="T10" s="11">
        <f>IF(Inputs!B7=1,L10,MIN(S10,L10))</f>
      </c>
      <c r="U10" s="11">
        <f>IF(Inputs!B19=1,MAX(0,T10-J10),0)</f>
      </c>
      <c r="V10" s="11">
        <f>T10*(1+Inputs!B11)</f>
      </c>
      <c r="W10" s="11">
        <f>V10-T10</f>
      </c>
      <c r="X10" s="11">
        <f>V10*Inputs!B13*MIN(12,Inputs!B10)/12</f>
      </c>
      <c r="Y10" s="11">
        <f>W10*Inputs!B14/12</f>
      </c>
      <c r="Z10" s="11">
        <f>J10+U10-T10+X10-Y10</f>
      </c>
      <c r="AA10" s="11">
        <f>D10+E10-I10+U10+X10-Y10</f>
      </c>
      <c r="AB10" s="11">
        <f>IF(U10&gt;0,AB9*(1+Inputs!B15/12)+U10,AB9*(1+Inputs!B15/12))</f>
      </c>
      <c r="AC10" s="9">
        <f>IF(Inputs!B21&gt;0,AA10/Inputs!B21,0)</f>
      </c>
      <c r="AD10" s="11">
        <f>G10+T10</f>
      </c>
      <c r="AE10" s="11">
        <f>H10+W10</f>
      </c>
      <c r="AF10" s="11">
        <f>AD10+AE10</f>
      </c>
      <c r="AG10" s="13">
        <f>IF(M10&gt;0,V10/M10,0)</f>
      </c>
      <c r="AH10" s="11">
        <f>AH9+U10</f>
      </c>
      <c r="AI10" s="8">
        <f>IFERROR((1+IRR(VSTACK($AJ$8:INDEX($AJ:$AJ,ROW()-1),-U10+AA10)))^12-1,0)</f>
      </c>
      <c r="AJ10" s="11">
        <f>-U10</f>
      </c>
    </row>
    <row r="11">
      <c r="A11" s="13">
        <f>A10+1</f>
      </c>
      <c r="B11" t="inlineStr" s="10">
        <is>
          <t>Month 4</t>
        </is>
      </c>
      <c r="C11" s="11">
        <f>Z10</f>
      </c>
      <c r="D11" s="11">
        <f>AA10</f>
      </c>
      <c r="E11" s="11">
        <f>IF(A11&lt;=12,0,INDEX($V$8:$V$127,A11-12)*Inputs!B13*MAX(0,Inputs!B10-12)/12)</f>
      </c>
      <c r="F11" s="11">
        <f>IF(A11&lt;=Inputs!B10,0,INDEX($T$8:$T$127,A11-Inputs!B10))</f>
      </c>
      <c r="G11" s="11">
        <f>AD10-F11</f>
      </c>
      <c r="H11" s="11">
        <f>AE10-IF(A11&lt;=Inputs!B10,0,INDEX($W$8:$W$127,A11-Inputs!B10))</f>
      </c>
      <c r="I11" s="11">
        <f>H11*Inputs!B14/12</f>
      </c>
      <c r="J11" s="11">
        <f>C11+E11+F11-I11</f>
      </c>
      <c r="K11" s="11">
        <f>IF(Inputs!B19=1,MAX(0,Inputs!B5*1000000000-AH10),0)</f>
      </c>
      <c r="L11" s="11">
        <f>MAX(0,J11+K11)</f>
      </c>
      <c r="M11" s="11">
        <f>Inputs!B8*1000000</f>
      </c>
      <c r="N11" s="13">
        <f>Inputs!B9</f>
      </c>
      <c r="O11" s="13">
        <f>MAX(1,SQRT(L11/MAX(M11*MAX(N11,0.01)/(1+Inputs!B11),1)))</f>
      </c>
      <c r="P11" s="13">
        <f>MIN(1,A11/12)</f>
      </c>
      <c r="Q11" s="13">
        <f>IF(Inputs!B7=1,MAX(N11,L11*(1+Inputs!B11)/MAX(M11,1)),N11+(N11*O11-N11)*P11)</f>
      </c>
      <c r="R11" s="11">
        <f>IF(Inputs!B7=1,L11*(1+Inputs!B11),M11*Q11)</f>
      </c>
      <c r="S11" s="11">
        <f>R11/(1+Inputs!B11)</f>
      </c>
      <c r="T11" s="11">
        <f>IF(Inputs!B7=1,L11,MIN(S11,L11))</f>
      </c>
      <c r="U11" s="11">
        <f>IF(Inputs!B19=1,MAX(0,T11-J11),0)</f>
      </c>
      <c r="V11" s="11">
        <f>T11*(1+Inputs!B11)</f>
      </c>
      <c r="W11" s="11">
        <f>V11-T11</f>
      </c>
      <c r="X11" s="11">
        <f>V11*Inputs!B13*MIN(12,Inputs!B10)/12</f>
      </c>
      <c r="Y11" s="11">
        <f>W11*Inputs!B14/12</f>
      </c>
      <c r="Z11" s="11">
        <f>J11+U11-T11+X11-Y11</f>
      </c>
      <c r="AA11" s="11">
        <f>D11+E11-I11+U11+X11-Y11</f>
      </c>
      <c r="AB11" s="11">
        <f>IF(U11&gt;0,AB10*(1+Inputs!B15/12)+U11,AB10*(1+Inputs!B15/12))</f>
      </c>
      <c r="AC11" s="9">
        <f>IF(Inputs!B21&gt;0,AA11/Inputs!B21,0)</f>
      </c>
      <c r="AD11" s="11">
        <f>G11+T11</f>
      </c>
      <c r="AE11" s="11">
        <f>H11+W11</f>
      </c>
      <c r="AF11" s="11">
        <f>AD11+AE11</f>
      </c>
      <c r="AG11" s="13">
        <f>IF(M11&gt;0,V11/M11,0)</f>
      </c>
      <c r="AH11" s="11">
        <f>AH10+U11</f>
      </c>
      <c r="AI11" s="8">
        <f>IFERROR((1+IRR(VSTACK($AJ$8:INDEX($AJ:$AJ,ROW()-1),-U11+AA11)))^12-1,0)</f>
      </c>
      <c r="AJ11" s="11">
        <f>-U11</f>
      </c>
    </row>
    <row r="12">
      <c r="A12" s="13">
        <f>A11+1</f>
      </c>
      <c r="B12" t="inlineStr" s="10">
        <is>
          <t>Month 5</t>
        </is>
      </c>
      <c r="C12" s="11">
        <f>Z11</f>
      </c>
      <c r="D12" s="11">
        <f>AA11</f>
      </c>
      <c r="E12" s="11">
        <f>IF(A12&lt;=12,0,INDEX($V$8:$V$127,A12-12)*Inputs!B13*MAX(0,Inputs!B10-12)/12)</f>
      </c>
      <c r="F12" s="11">
        <f>IF(A12&lt;=Inputs!B10,0,INDEX($T$8:$T$127,A12-Inputs!B10))</f>
      </c>
      <c r="G12" s="11">
        <f>AD11-F12</f>
      </c>
      <c r="H12" s="11">
        <f>AE11-IF(A12&lt;=Inputs!B10,0,INDEX($W$8:$W$127,A12-Inputs!B10))</f>
      </c>
      <c r="I12" s="11">
        <f>H12*Inputs!B14/12</f>
      </c>
      <c r="J12" s="11">
        <f>C12+E12+F12-I12</f>
      </c>
      <c r="K12" s="11">
        <f>IF(Inputs!B19=1,MAX(0,Inputs!B5*1000000000-AH11),0)</f>
      </c>
      <c r="L12" s="11">
        <f>MAX(0,J12+K12)</f>
      </c>
      <c r="M12" s="11">
        <f>Inputs!B8*1000000</f>
      </c>
      <c r="N12" s="13">
        <f>Inputs!B9</f>
      </c>
      <c r="O12" s="13">
        <f>MAX(1,SQRT(L12/MAX(M12*MAX(N12,0.01)/(1+Inputs!B11),1)))</f>
      </c>
      <c r="P12" s="13">
        <f>MIN(1,A12/12)</f>
      </c>
      <c r="Q12" s="13">
        <f>IF(Inputs!B7=1,MAX(N12,L12*(1+Inputs!B11)/MAX(M12,1)),N12+(N12*O12-N12)*P12)</f>
      </c>
      <c r="R12" s="11">
        <f>IF(Inputs!B7=1,L12*(1+Inputs!B11),M12*Q12)</f>
      </c>
      <c r="S12" s="11">
        <f>R12/(1+Inputs!B11)</f>
      </c>
      <c r="T12" s="11">
        <f>IF(Inputs!B7=1,L12,MIN(S12,L12))</f>
      </c>
      <c r="U12" s="11">
        <f>IF(Inputs!B19=1,MAX(0,T12-J12),0)</f>
      </c>
      <c r="V12" s="11">
        <f>T12*(1+Inputs!B11)</f>
      </c>
      <c r="W12" s="11">
        <f>V12-T12</f>
      </c>
      <c r="X12" s="11">
        <f>V12*Inputs!B13*MIN(12,Inputs!B10)/12</f>
      </c>
      <c r="Y12" s="11">
        <f>W12*Inputs!B14/12</f>
      </c>
      <c r="Z12" s="11">
        <f>J12+U12-T12+X12-Y12</f>
      </c>
      <c r="AA12" s="11">
        <f>D12+E12-I12+U12+X12-Y12</f>
      </c>
      <c r="AB12" s="11">
        <f>IF(U12&gt;0,AB11*(1+Inputs!B15/12)+U12,AB11*(1+Inputs!B15/12))</f>
      </c>
      <c r="AC12" s="9">
        <f>IF(Inputs!B21&gt;0,AA12/Inputs!B21,0)</f>
      </c>
      <c r="AD12" s="11">
        <f>G12+T12</f>
      </c>
      <c r="AE12" s="11">
        <f>H12+W12</f>
      </c>
      <c r="AF12" s="11">
        <f>AD12+AE12</f>
      </c>
      <c r="AG12" s="13">
        <f>IF(M12&gt;0,V12/M12,0)</f>
      </c>
      <c r="AH12" s="11">
        <f>AH11+U12</f>
      </c>
      <c r="AI12" s="8">
        <f>IFERROR((1+IRR(VSTACK($AJ$8:INDEX($AJ:$AJ,ROW()-1),-U12+AA12)))^12-1,0)</f>
      </c>
      <c r="AJ12" s="11">
        <f>-U12</f>
      </c>
    </row>
    <row r="13">
      <c r="A13" s="13">
        <f>A12+1</f>
      </c>
      <c r="B13" t="inlineStr" s="10">
        <is>
          <t>Month 6</t>
        </is>
      </c>
      <c r="C13" s="11">
        <f>Z12</f>
      </c>
      <c r="D13" s="11">
        <f>AA12</f>
      </c>
      <c r="E13" s="11">
        <f>IF(A13&lt;=12,0,INDEX($V$8:$V$127,A13-12)*Inputs!B13*MAX(0,Inputs!B10-12)/12)</f>
      </c>
      <c r="F13" s="11">
        <f>IF(A13&lt;=Inputs!B10,0,INDEX($T$8:$T$127,A13-Inputs!B10))</f>
      </c>
      <c r="G13" s="11">
        <f>AD12-F13</f>
      </c>
      <c r="H13" s="11">
        <f>AE12-IF(A13&lt;=Inputs!B10,0,INDEX($W$8:$W$127,A13-Inputs!B10))</f>
      </c>
      <c r="I13" s="11">
        <f>H13*Inputs!B14/12</f>
      </c>
      <c r="J13" s="11">
        <f>C13+E13+F13-I13</f>
      </c>
      <c r="K13" s="11">
        <f>IF(Inputs!B19=1,MAX(0,Inputs!B5*1000000000-AH12),0)</f>
      </c>
      <c r="L13" s="11">
        <f>MAX(0,J13+K13)</f>
      </c>
      <c r="M13" s="11">
        <f>Inputs!B8*1000000</f>
      </c>
      <c r="N13" s="13">
        <f>Inputs!B9</f>
      </c>
      <c r="O13" s="13">
        <f>MAX(1,SQRT(L13/MAX(M13*MAX(N13,0.01)/(1+Inputs!B11),1)))</f>
      </c>
      <c r="P13" s="13">
        <f>MIN(1,A13/12)</f>
      </c>
      <c r="Q13" s="13">
        <f>IF(Inputs!B7=1,MAX(N13,L13*(1+Inputs!B11)/MAX(M13,1)),N13+(N13*O13-N13)*P13)</f>
      </c>
      <c r="R13" s="11">
        <f>IF(Inputs!B7=1,L13*(1+Inputs!B11),M13*Q13)</f>
      </c>
      <c r="S13" s="11">
        <f>R13/(1+Inputs!B11)</f>
      </c>
      <c r="T13" s="11">
        <f>IF(Inputs!B7=1,L13,MIN(S13,L13))</f>
      </c>
      <c r="U13" s="11">
        <f>IF(Inputs!B19=1,MAX(0,T13-J13),0)</f>
      </c>
      <c r="V13" s="11">
        <f>T13*(1+Inputs!B11)</f>
      </c>
      <c r="W13" s="11">
        <f>V13-T13</f>
      </c>
      <c r="X13" s="11">
        <f>V13*Inputs!B13*MIN(12,Inputs!B10)/12</f>
      </c>
      <c r="Y13" s="11">
        <f>W13*Inputs!B14/12</f>
      </c>
      <c r="Z13" s="11">
        <f>J13+U13-T13+X13-Y13</f>
      </c>
      <c r="AA13" s="11">
        <f>D13+E13-I13+U13+X13-Y13</f>
      </c>
      <c r="AB13" s="11">
        <f>IF(U13&gt;0,AB12*(1+Inputs!B15/12)+U13,AB12*(1+Inputs!B15/12))</f>
      </c>
      <c r="AC13" s="9">
        <f>IF(Inputs!B21&gt;0,AA13/Inputs!B21,0)</f>
      </c>
      <c r="AD13" s="11">
        <f>G13+T13</f>
      </c>
      <c r="AE13" s="11">
        <f>H13+W13</f>
      </c>
      <c r="AF13" s="11">
        <f>AD13+AE13</f>
      </c>
      <c r="AG13" s="13">
        <f>IF(M13&gt;0,V13/M13,0)</f>
      </c>
      <c r="AH13" s="11">
        <f>AH12+U13</f>
      </c>
      <c r="AI13" s="8">
        <f>IFERROR((1+IRR(VSTACK($AJ$8:INDEX($AJ:$AJ,ROW()-1),-U13+AA13)))^12-1,0)</f>
      </c>
      <c r="AJ13" s="11">
        <f>-U13</f>
      </c>
    </row>
    <row r="14">
      <c r="A14" s="13">
        <f>A13+1</f>
      </c>
      <c r="B14" t="inlineStr" s="10">
        <is>
          <t>Month 7</t>
        </is>
      </c>
      <c r="C14" s="11">
        <f>Z13</f>
      </c>
      <c r="D14" s="11">
        <f>AA13</f>
      </c>
      <c r="E14" s="11">
        <f>IF(A14&lt;=12,0,INDEX($V$8:$V$127,A14-12)*Inputs!B13*MAX(0,Inputs!B10-12)/12)</f>
      </c>
      <c r="F14" s="11">
        <f>IF(A14&lt;=Inputs!B10,0,INDEX($T$8:$T$127,A14-Inputs!B10))</f>
      </c>
      <c r="G14" s="11">
        <f>AD13-F14</f>
      </c>
      <c r="H14" s="11">
        <f>AE13-IF(A14&lt;=Inputs!B10,0,INDEX($W$8:$W$127,A14-Inputs!B10))</f>
      </c>
      <c r="I14" s="11">
        <f>H14*Inputs!B14/12</f>
      </c>
      <c r="J14" s="11">
        <f>C14+E14+F14-I14</f>
      </c>
      <c r="K14" s="11">
        <f>IF(Inputs!B19=1,MAX(0,Inputs!B5*1000000000-AH13),0)</f>
      </c>
      <c r="L14" s="11">
        <f>MAX(0,J14+K14)</f>
      </c>
      <c r="M14" s="11">
        <f>Inputs!B8*1000000</f>
      </c>
      <c r="N14" s="13">
        <f>Inputs!B9</f>
      </c>
      <c r="O14" s="13">
        <f>MAX(1,SQRT(L14/MAX(M14*MAX(N14,0.01)/(1+Inputs!B11),1)))</f>
      </c>
      <c r="P14" s="13">
        <f>MIN(1,A14/12)</f>
      </c>
      <c r="Q14" s="13">
        <f>IF(Inputs!B7=1,MAX(N14,L14*(1+Inputs!B11)/MAX(M14,1)),N14+(N14*O14-N14)*P14)</f>
      </c>
      <c r="R14" s="11">
        <f>IF(Inputs!B7=1,L14*(1+Inputs!B11),M14*Q14)</f>
      </c>
      <c r="S14" s="11">
        <f>R14/(1+Inputs!B11)</f>
      </c>
      <c r="T14" s="11">
        <f>IF(Inputs!B7=1,L14,MIN(S14,L14))</f>
      </c>
      <c r="U14" s="11">
        <f>IF(Inputs!B19=1,MAX(0,T14-J14),0)</f>
      </c>
      <c r="V14" s="11">
        <f>T14*(1+Inputs!B11)</f>
      </c>
      <c r="W14" s="11">
        <f>V14-T14</f>
      </c>
      <c r="X14" s="11">
        <f>V14*Inputs!B13*MIN(12,Inputs!B10)/12</f>
      </c>
      <c r="Y14" s="11">
        <f>W14*Inputs!B14/12</f>
      </c>
      <c r="Z14" s="11">
        <f>J14+U14-T14+X14-Y14</f>
      </c>
      <c r="AA14" s="11">
        <f>D14+E14-I14+U14+X14-Y14</f>
      </c>
      <c r="AB14" s="11">
        <f>IF(U14&gt;0,AB13*(1+Inputs!B15/12)+U14,AB13*(1+Inputs!B15/12))</f>
      </c>
      <c r="AC14" s="9">
        <f>IF(Inputs!B21&gt;0,AA14/Inputs!B21,0)</f>
      </c>
      <c r="AD14" s="11">
        <f>G14+T14</f>
      </c>
      <c r="AE14" s="11">
        <f>H14+W14</f>
      </c>
      <c r="AF14" s="11">
        <f>AD14+AE14</f>
      </c>
      <c r="AG14" s="13">
        <f>IF(M14&gt;0,V14/M14,0)</f>
      </c>
      <c r="AH14" s="11">
        <f>AH13+U14</f>
      </c>
      <c r="AI14" s="8">
        <f>IFERROR((1+IRR(VSTACK($AJ$8:INDEX($AJ:$AJ,ROW()-1),-U14+AA14)))^12-1,0)</f>
      </c>
      <c r="AJ14" s="11">
        <f>-U14</f>
      </c>
    </row>
    <row r="15">
      <c r="A15" s="13">
        <f>A14+1</f>
      </c>
      <c r="B15" t="inlineStr" s="10">
        <is>
          <t>Month 8</t>
        </is>
      </c>
      <c r="C15" s="11">
        <f>Z14</f>
      </c>
      <c r="D15" s="11">
        <f>AA14</f>
      </c>
      <c r="E15" s="11">
        <f>IF(A15&lt;=12,0,INDEX($V$8:$V$127,A15-12)*Inputs!B13*MAX(0,Inputs!B10-12)/12)</f>
      </c>
      <c r="F15" s="11">
        <f>IF(A15&lt;=Inputs!B10,0,INDEX($T$8:$T$127,A15-Inputs!B10))</f>
      </c>
      <c r="G15" s="11">
        <f>AD14-F15</f>
      </c>
      <c r="H15" s="11">
        <f>AE14-IF(A15&lt;=Inputs!B10,0,INDEX($W$8:$W$127,A15-Inputs!B10))</f>
      </c>
      <c r="I15" s="11">
        <f>H15*Inputs!B14/12</f>
      </c>
      <c r="J15" s="11">
        <f>C15+E15+F15-I15</f>
      </c>
      <c r="K15" s="11">
        <f>IF(Inputs!B19=1,MAX(0,Inputs!B5*1000000000-AH14),0)</f>
      </c>
      <c r="L15" s="11">
        <f>MAX(0,J15+K15)</f>
      </c>
      <c r="M15" s="11">
        <f>Inputs!B8*1000000</f>
      </c>
      <c r="N15" s="13">
        <f>Inputs!B9</f>
      </c>
      <c r="O15" s="13">
        <f>MAX(1,SQRT(L15/MAX(M15*MAX(N15,0.01)/(1+Inputs!B11),1)))</f>
      </c>
      <c r="P15" s="13">
        <f>MIN(1,A15/12)</f>
      </c>
      <c r="Q15" s="13">
        <f>IF(Inputs!B7=1,MAX(N15,L15*(1+Inputs!B11)/MAX(M15,1)),N15+(N15*O15-N15)*P15)</f>
      </c>
      <c r="R15" s="11">
        <f>IF(Inputs!B7=1,L15*(1+Inputs!B11),M15*Q15)</f>
      </c>
      <c r="S15" s="11">
        <f>R15/(1+Inputs!B11)</f>
      </c>
      <c r="T15" s="11">
        <f>IF(Inputs!B7=1,L15,MIN(S15,L15))</f>
      </c>
      <c r="U15" s="11">
        <f>IF(Inputs!B19=1,MAX(0,T15-J15),0)</f>
      </c>
      <c r="V15" s="11">
        <f>T15*(1+Inputs!B11)</f>
      </c>
      <c r="W15" s="11">
        <f>V15-T15</f>
      </c>
      <c r="X15" s="11">
        <f>V15*Inputs!B13*MIN(12,Inputs!B10)/12</f>
      </c>
      <c r="Y15" s="11">
        <f>W15*Inputs!B14/12</f>
      </c>
      <c r="Z15" s="11">
        <f>J15+U15-T15+X15-Y15</f>
      </c>
      <c r="AA15" s="11">
        <f>D15+E15-I15+U15+X15-Y15</f>
      </c>
      <c r="AB15" s="11">
        <f>IF(U15&gt;0,AB14*(1+Inputs!B15/12)+U15,AB14*(1+Inputs!B15/12))</f>
      </c>
      <c r="AC15" s="9">
        <f>IF(Inputs!B21&gt;0,AA15/Inputs!B21,0)</f>
      </c>
      <c r="AD15" s="11">
        <f>G15+T15</f>
      </c>
      <c r="AE15" s="11">
        <f>H15+W15</f>
      </c>
      <c r="AF15" s="11">
        <f>AD15+AE15</f>
      </c>
      <c r="AG15" s="13">
        <f>IF(M15&gt;0,V15/M15,0)</f>
      </c>
      <c r="AH15" s="11">
        <f>AH14+U15</f>
      </c>
      <c r="AI15" s="8">
        <f>IFERROR((1+IRR(VSTACK($AJ$8:INDEX($AJ:$AJ,ROW()-1),-U15+AA15)))^12-1,0)</f>
      </c>
      <c r="AJ15" s="11">
        <f>-U15</f>
      </c>
    </row>
    <row r="16">
      <c r="A16" s="13">
        <f>A15+1</f>
      </c>
      <c r="B16" t="inlineStr" s="10">
        <is>
          <t>Month 9</t>
        </is>
      </c>
      <c r="C16" s="11">
        <f>Z15</f>
      </c>
      <c r="D16" s="11">
        <f>AA15</f>
      </c>
      <c r="E16" s="11">
        <f>IF(A16&lt;=12,0,INDEX($V$8:$V$127,A16-12)*Inputs!B13*MAX(0,Inputs!B10-12)/12)</f>
      </c>
      <c r="F16" s="11">
        <f>IF(A16&lt;=Inputs!B10,0,INDEX($T$8:$T$127,A16-Inputs!B10))</f>
      </c>
      <c r="G16" s="11">
        <f>AD15-F16</f>
      </c>
      <c r="H16" s="11">
        <f>AE15-IF(A16&lt;=Inputs!B10,0,INDEX($W$8:$W$127,A16-Inputs!B10))</f>
      </c>
      <c r="I16" s="11">
        <f>H16*Inputs!B14/12</f>
      </c>
      <c r="J16" s="11">
        <f>C16+E16+F16-I16</f>
      </c>
      <c r="K16" s="11">
        <f>IF(Inputs!B19=1,MAX(0,Inputs!B5*1000000000-AH15),0)</f>
      </c>
      <c r="L16" s="11">
        <f>MAX(0,J16+K16)</f>
      </c>
      <c r="M16" s="11">
        <f>Inputs!B8*1000000</f>
      </c>
      <c r="N16" s="13">
        <f>Inputs!B9</f>
      </c>
      <c r="O16" s="13">
        <f>MAX(1,SQRT(L16/MAX(M16*MAX(N16,0.01)/(1+Inputs!B11),1)))</f>
      </c>
      <c r="P16" s="13">
        <f>MIN(1,A16/12)</f>
      </c>
      <c r="Q16" s="13">
        <f>IF(Inputs!B7=1,MAX(N16,L16*(1+Inputs!B11)/MAX(M16,1)),N16+(N16*O16-N16)*P16)</f>
      </c>
      <c r="R16" s="11">
        <f>IF(Inputs!B7=1,L16*(1+Inputs!B11),M16*Q16)</f>
      </c>
      <c r="S16" s="11">
        <f>R16/(1+Inputs!B11)</f>
      </c>
      <c r="T16" s="11">
        <f>IF(Inputs!B7=1,L16,MIN(S16,L16))</f>
      </c>
      <c r="U16" s="11">
        <f>IF(Inputs!B19=1,MAX(0,T16-J16),0)</f>
      </c>
      <c r="V16" s="11">
        <f>T16*(1+Inputs!B11)</f>
      </c>
      <c r="W16" s="11">
        <f>V16-T16</f>
      </c>
      <c r="X16" s="11">
        <f>V16*Inputs!B13*MIN(12,Inputs!B10)/12</f>
      </c>
      <c r="Y16" s="11">
        <f>W16*Inputs!B14/12</f>
      </c>
      <c r="Z16" s="11">
        <f>J16+U16-T16+X16-Y16</f>
      </c>
      <c r="AA16" s="11">
        <f>D16+E16-I16+U16+X16-Y16</f>
      </c>
      <c r="AB16" s="11">
        <f>IF(U16&gt;0,AB15*(1+Inputs!B15/12)+U16,AB15*(1+Inputs!B15/12))</f>
      </c>
      <c r="AC16" s="9">
        <f>IF(Inputs!B21&gt;0,AA16/Inputs!B21,0)</f>
      </c>
      <c r="AD16" s="11">
        <f>G16+T16</f>
      </c>
      <c r="AE16" s="11">
        <f>H16+W16</f>
      </c>
      <c r="AF16" s="11">
        <f>AD16+AE16</f>
      </c>
      <c r="AG16" s="13">
        <f>IF(M16&gt;0,V16/M16,0)</f>
      </c>
      <c r="AH16" s="11">
        <f>AH15+U16</f>
      </c>
      <c r="AI16" s="8">
        <f>IFERROR((1+IRR(VSTACK($AJ$8:INDEX($AJ:$AJ,ROW()-1),-U16+AA16)))^12-1,0)</f>
      </c>
      <c r="AJ16" s="11">
        <f>-U16</f>
      </c>
    </row>
    <row r="17">
      <c r="A17" s="13">
        <f>A16+1</f>
      </c>
      <c r="B17" t="inlineStr" s="10">
        <is>
          <t>Month 10</t>
        </is>
      </c>
      <c r="C17" s="11">
        <f>Z16</f>
      </c>
      <c r="D17" s="11">
        <f>AA16</f>
      </c>
      <c r="E17" s="11">
        <f>IF(A17&lt;=12,0,INDEX($V$8:$V$127,A17-12)*Inputs!B13*MAX(0,Inputs!B10-12)/12)</f>
      </c>
      <c r="F17" s="11">
        <f>IF(A17&lt;=Inputs!B10,0,INDEX($T$8:$T$127,A17-Inputs!B10))</f>
      </c>
      <c r="G17" s="11">
        <f>AD16-F17</f>
      </c>
      <c r="H17" s="11">
        <f>AE16-IF(A17&lt;=Inputs!B10,0,INDEX($W$8:$W$127,A17-Inputs!B10))</f>
      </c>
      <c r="I17" s="11">
        <f>H17*Inputs!B14/12</f>
      </c>
      <c r="J17" s="11">
        <f>C17+E17+F17-I17</f>
      </c>
      <c r="K17" s="11">
        <f>IF(Inputs!B19=1,MAX(0,Inputs!B5*1000000000-AH16),0)</f>
      </c>
      <c r="L17" s="11">
        <f>MAX(0,J17+K17)</f>
      </c>
      <c r="M17" s="11">
        <f>Inputs!B8*1000000</f>
      </c>
      <c r="N17" s="13">
        <f>Inputs!B9</f>
      </c>
      <c r="O17" s="13">
        <f>MAX(1,SQRT(L17/MAX(M17*MAX(N17,0.01)/(1+Inputs!B11),1)))</f>
      </c>
      <c r="P17" s="13">
        <f>MIN(1,A17/12)</f>
      </c>
      <c r="Q17" s="13">
        <f>IF(Inputs!B7=1,MAX(N17,L17*(1+Inputs!B11)/MAX(M17,1)),N17+(N17*O17-N17)*P17)</f>
      </c>
      <c r="R17" s="11">
        <f>IF(Inputs!B7=1,L17*(1+Inputs!B11),M17*Q17)</f>
      </c>
      <c r="S17" s="11">
        <f>R17/(1+Inputs!B11)</f>
      </c>
      <c r="T17" s="11">
        <f>IF(Inputs!B7=1,L17,MIN(S17,L17))</f>
      </c>
      <c r="U17" s="11">
        <f>IF(Inputs!B19=1,MAX(0,T17-J17),0)</f>
      </c>
      <c r="V17" s="11">
        <f>T17*(1+Inputs!B11)</f>
      </c>
      <c r="W17" s="11">
        <f>V17-T17</f>
      </c>
      <c r="X17" s="11">
        <f>V17*Inputs!B13*MIN(12,Inputs!B10)/12</f>
      </c>
      <c r="Y17" s="11">
        <f>W17*Inputs!B14/12</f>
      </c>
      <c r="Z17" s="11">
        <f>J17+U17-T17+X17-Y17</f>
      </c>
      <c r="AA17" s="11">
        <f>D17+E17-I17+U17+X17-Y17</f>
      </c>
      <c r="AB17" s="11">
        <f>IF(U17&gt;0,AB16*(1+Inputs!B15/12)+U17,AB16*(1+Inputs!B15/12))</f>
      </c>
      <c r="AC17" s="9">
        <f>IF(Inputs!B21&gt;0,AA17/Inputs!B21,0)</f>
      </c>
      <c r="AD17" s="11">
        <f>G17+T17</f>
      </c>
      <c r="AE17" s="11">
        <f>H17+W17</f>
      </c>
      <c r="AF17" s="11">
        <f>AD17+AE17</f>
      </c>
      <c r="AG17" s="13">
        <f>IF(M17&gt;0,V17/M17,0)</f>
      </c>
      <c r="AH17" s="11">
        <f>AH16+U17</f>
      </c>
      <c r="AI17" s="8">
        <f>IFERROR((1+IRR(VSTACK($AJ$8:INDEX($AJ:$AJ,ROW()-1),-U17+AA17)))^12-1,0)</f>
      </c>
      <c r="AJ17" s="11">
        <f>-U17</f>
      </c>
    </row>
    <row r="18">
      <c r="A18" s="13">
        <f>A17+1</f>
      </c>
      <c r="B18" t="inlineStr" s="10">
        <is>
          <t>Month 11</t>
        </is>
      </c>
      <c r="C18" s="11">
        <f>Z17</f>
      </c>
      <c r="D18" s="11">
        <f>AA17</f>
      </c>
      <c r="E18" s="11">
        <f>IF(A18&lt;=12,0,INDEX($V$8:$V$127,A18-12)*Inputs!B13*MAX(0,Inputs!B10-12)/12)</f>
      </c>
      <c r="F18" s="11">
        <f>IF(A18&lt;=Inputs!B10,0,INDEX($T$8:$T$127,A18-Inputs!B10))</f>
      </c>
      <c r="G18" s="11">
        <f>AD17-F18</f>
      </c>
      <c r="H18" s="11">
        <f>AE17-IF(A18&lt;=Inputs!B10,0,INDEX($W$8:$W$127,A18-Inputs!B10))</f>
      </c>
      <c r="I18" s="11">
        <f>H18*Inputs!B14/12</f>
      </c>
      <c r="J18" s="11">
        <f>C18+E18+F18-I18</f>
      </c>
      <c r="K18" s="11">
        <f>IF(Inputs!B19=1,MAX(0,Inputs!B5*1000000000-AH17),0)</f>
      </c>
      <c r="L18" s="11">
        <f>MAX(0,J18+K18)</f>
      </c>
      <c r="M18" s="11">
        <f>Inputs!B8*1000000</f>
      </c>
      <c r="N18" s="13">
        <f>Inputs!B9</f>
      </c>
      <c r="O18" s="13">
        <f>MAX(1,SQRT(L18/MAX(M18*MAX(N18,0.01)/(1+Inputs!B11),1)))</f>
      </c>
      <c r="P18" s="13">
        <f>MIN(1,A18/12)</f>
      </c>
      <c r="Q18" s="13">
        <f>IF(Inputs!B7=1,MAX(N18,L18*(1+Inputs!B11)/MAX(M18,1)),N18+(N18*O18-N18)*P18)</f>
      </c>
      <c r="R18" s="11">
        <f>IF(Inputs!B7=1,L18*(1+Inputs!B11),M18*Q18)</f>
      </c>
      <c r="S18" s="11">
        <f>R18/(1+Inputs!B11)</f>
      </c>
      <c r="T18" s="11">
        <f>IF(Inputs!B7=1,L18,MIN(S18,L18))</f>
      </c>
      <c r="U18" s="11">
        <f>IF(Inputs!B19=1,MAX(0,T18-J18),0)</f>
      </c>
      <c r="V18" s="11">
        <f>T18*(1+Inputs!B11)</f>
      </c>
      <c r="W18" s="11">
        <f>V18-T18</f>
      </c>
      <c r="X18" s="11">
        <f>V18*Inputs!B13*MIN(12,Inputs!B10)/12</f>
      </c>
      <c r="Y18" s="11">
        <f>W18*Inputs!B14/12</f>
      </c>
      <c r="Z18" s="11">
        <f>J18+U18-T18+X18-Y18</f>
      </c>
      <c r="AA18" s="11">
        <f>D18+E18-I18+U18+X18-Y18</f>
      </c>
      <c r="AB18" s="11">
        <f>IF(U18&gt;0,AB17*(1+Inputs!B15/12)+U18,AB17*(1+Inputs!B15/12))</f>
      </c>
      <c r="AC18" s="9">
        <f>IF(Inputs!B21&gt;0,AA18/Inputs!B21,0)</f>
      </c>
      <c r="AD18" s="11">
        <f>G18+T18</f>
      </c>
      <c r="AE18" s="11">
        <f>H18+W18</f>
      </c>
      <c r="AF18" s="11">
        <f>AD18+AE18</f>
      </c>
      <c r="AG18" s="13">
        <f>IF(M18&gt;0,V18/M18,0)</f>
      </c>
      <c r="AH18" s="11">
        <f>AH17+U18</f>
      </c>
      <c r="AI18" s="8">
        <f>IFERROR((1+IRR(VSTACK($AJ$8:INDEX($AJ:$AJ,ROW()-1),-U18+AA18)))^12-1,0)</f>
      </c>
      <c r="AJ18" s="11">
        <f>-U18</f>
      </c>
    </row>
    <row r="19">
      <c r="A19" s="13">
        <f>A18+1</f>
      </c>
      <c r="B19" t="inlineStr" s="10">
        <is>
          <t>Month 12</t>
        </is>
      </c>
      <c r="C19" s="11">
        <f>Z18</f>
      </c>
      <c r="D19" s="11">
        <f>AA18</f>
      </c>
      <c r="E19" s="11">
        <f>IF(A19&lt;=12,0,INDEX($V$8:$V$127,A19-12)*Inputs!B13*MAX(0,Inputs!B10-12)/12)</f>
      </c>
      <c r="F19" s="11">
        <f>IF(A19&lt;=Inputs!B10,0,INDEX($T$8:$T$127,A19-Inputs!B10))</f>
      </c>
      <c r="G19" s="11">
        <f>AD18-F19</f>
      </c>
      <c r="H19" s="11">
        <f>AE18-IF(A19&lt;=Inputs!B10,0,INDEX($W$8:$W$127,A19-Inputs!B10))</f>
      </c>
      <c r="I19" s="11">
        <f>H19*Inputs!B14/12</f>
      </c>
      <c r="J19" s="11">
        <f>C19+E19+F19-I19</f>
      </c>
      <c r="K19" s="11">
        <f>IF(Inputs!B19=1,MAX(0,Inputs!B5*1000000000-AH18),0)</f>
      </c>
      <c r="L19" s="11">
        <f>MAX(0,J19+K19)</f>
      </c>
      <c r="M19" s="11">
        <f>Inputs!B8*1000000</f>
      </c>
      <c r="N19" s="13">
        <f>Inputs!B9</f>
      </c>
      <c r="O19" s="13">
        <f>MAX(1,SQRT(L19/MAX(M19*MAX(N19,0.01)/(1+Inputs!B11),1)))</f>
      </c>
      <c r="P19" s="13">
        <f>MIN(1,A19/12)</f>
      </c>
      <c r="Q19" s="13">
        <f>IF(Inputs!B7=1,MAX(N19,L19*(1+Inputs!B11)/MAX(M19,1)),N19+(N19*O19-N19)*P19)</f>
      </c>
      <c r="R19" s="11">
        <f>IF(Inputs!B7=1,L19*(1+Inputs!B11),M19*Q19)</f>
      </c>
      <c r="S19" s="11">
        <f>R19/(1+Inputs!B11)</f>
      </c>
      <c r="T19" s="11">
        <f>IF(Inputs!B7=1,L19,MIN(S19,L19))</f>
      </c>
      <c r="U19" s="11">
        <f>IF(Inputs!B19=1,MAX(0,T19-J19),0)</f>
      </c>
      <c r="V19" s="11">
        <f>T19*(1+Inputs!B11)</f>
      </c>
      <c r="W19" s="11">
        <f>V19-T19</f>
      </c>
      <c r="X19" s="11">
        <f>V19*Inputs!B13*MIN(12,Inputs!B10)/12</f>
      </c>
      <c r="Y19" s="11">
        <f>W19*Inputs!B14/12</f>
      </c>
      <c r="Z19" s="11">
        <f>J19+U19-T19+X19-Y19</f>
      </c>
      <c r="AA19" s="11">
        <f>D19+E19-I19+U19+X19-Y19</f>
      </c>
      <c r="AB19" s="11">
        <f>IF(U19&gt;0,AB18*(1+Inputs!B15/12)+U19,AB18*(1+Inputs!B15/12))</f>
      </c>
      <c r="AC19" s="9">
        <f>IF(Inputs!B21&gt;0,AA19/Inputs!B21,0)</f>
      </c>
      <c r="AD19" s="11">
        <f>G19+T19</f>
      </c>
      <c r="AE19" s="11">
        <f>H19+W19</f>
      </c>
      <c r="AF19" s="11">
        <f>AD19+AE19</f>
      </c>
      <c r="AG19" s="13">
        <f>IF(M19&gt;0,V19/M19,0)</f>
      </c>
      <c r="AH19" s="11">
        <f>AH18+U19</f>
      </c>
      <c r="AI19" s="8">
        <f>IFERROR((1+IRR(VSTACK($AJ$8:INDEX($AJ:$AJ,ROW()-1),-U19+AA19)))^12-1,0)</f>
      </c>
      <c r="AJ19" s="11">
        <f>-U19</f>
      </c>
    </row>
    <row r="20">
      <c r="A20" s="13">
        <f>A19+1</f>
      </c>
      <c r="B20" t="inlineStr" s="10">
        <is>
          <t>Month 13</t>
        </is>
      </c>
      <c r="C20" s="11">
        <f>Z19</f>
      </c>
      <c r="D20" s="11">
        <f>AA19</f>
      </c>
      <c r="E20" s="11">
        <f>IF(A20&lt;=12,0,INDEX($V$8:$V$127,A20-12)*Inputs!B13*MAX(0,Inputs!B10-12)/12)</f>
      </c>
      <c r="F20" s="11">
        <f>IF(A20&lt;=Inputs!B10,0,INDEX($T$8:$T$127,A20-Inputs!B10))</f>
      </c>
      <c r="G20" s="11">
        <f>AD19-F20</f>
      </c>
      <c r="H20" s="11">
        <f>AE19-IF(A20&lt;=Inputs!B10,0,INDEX($W$8:$W$127,A20-Inputs!B10))</f>
      </c>
      <c r="I20" s="11">
        <f>H20*Inputs!B14/12</f>
      </c>
      <c r="J20" s="11">
        <f>C20+E20+F20-I20</f>
      </c>
      <c r="K20" s="11">
        <f>IF(Inputs!B19=1,MAX(0,Inputs!B5*1000000000-AH19),0)</f>
      </c>
      <c r="L20" s="11">
        <f>MAX(0,J20+K20)</f>
      </c>
      <c r="M20" s="11">
        <f>Inputs!B8*1000000</f>
      </c>
      <c r="N20" s="13">
        <f>Inputs!B9</f>
      </c>
      <c r="O20" s="13">
        <f>MAX(1,SQRT(L20/MAX(M20*MAX(N20,0.01)/(1+Inputs!B11),1)))</f>
      </c>
      <c r="P20" s="13">
        <f>MIN(1,A20/12)</f>
      </c>
      <c r="Q20" s="13">
        <f>IF(Inputs!B7=1,MAX(N20,L20*(1+Inputs!B11)/MAX(M20,1)),N20+(N20*O20-N20)*P20)</f>
      </c>
      <c r="R20" s="11">
        <f>IF(Inputs!B7=1,L20*(1+Inputs!B11),M20*Q20)</f>
      </c>
      <c r="S20" s="11">
        <f>R20/(1+Inputs!B11)</f>
      </c>
      <c r="T20" s="11">
        <f>IF(Inputs!B7=1,L20,MIN(S20,L20))</f>
      </c>
      <c r="U20" s="11">
        <f>IF(Inputs!B19=1,MAX(0,T20-J20),0)</f>
      </c>
      <c r="V20" s="11">
        <f>T20*(1+Inputs!B11)</f>
      </c>
      <c r="W20" s="11">
        <f>V20-T20</f>
      </c>
      <c r="X20" s="11">
        <f>V20*Inputs!B13*MIN(12,Inputs!B10)/12</f>
      </c>
      <c r="Y20" s="11">
        <f>W20*Inputs!B14/12</f>
      </c>
      <c r="Z20" s="11">
        <f>J20+U20-T20+X20-Y20</f>
      </c>
      <c r="AA20" s="11">
        <f>D20+E20-I20+U20+X20-Y20</f>
      </c>
      <c r="AB20" s="11">
        <f>IF(U20&gt;0,AB19*(1+Inputs!B15/12)+U20,AB19*(1+Inputs!B15/12))</f>
      </c>
      <c r="AC20" s="9">
        <f>IF(Inputs!B21&gt;0,AA20/Inputs!B21,0)</f>
      </c>
      <c r="AD20" s="11">
        <f>G20+T20</f>
      </c>
      <c r="AE20" s="11">
        <f>H20+W20</f>
      </c>
      <c r="AF20" s="11">
        <f>AD20+AE20</f>
      </c>
      <c r="AG20" s="13">
        <f>IF(M20&gt;0,V20/M20,0)</f>
      </c>
      <c r="AH20" s="11">
        <f>AH19+U20</f>
      </c>
      <c r="AI20" s="8">
        <f>IFERROR((1+IRR(VSTACK($AJ$8:INDEX($AJ:$AJ,ROW()-1),-U20+AA20)))^12-1,0)</f>
      </c>
      <c r="AJ20" s="11">
        <f>-U20</f>
      </c>
    </row>
    <row r="21">
      <c r="A21" s="13">
        <f>A20+1</f>
      </c>
      <c r="B21" t="inlineStr" s="10">
        <is>
          <t>Month 14</t>
        </is>
      </c>
      <c r="C21" s="11">
        <f>Z20</f>
      </c>
      <c r="D21" s="11">
        <f>AA20</f>
      </c>
      <c r="E21" s="11">
        <f>IF(A21&lt;=12,0,INDEX($V$8:$V$127,A21-12)*Inputs!B13*MAX(0,Inputs!B10-12)/12)</f>
      </c>
      <c r="F21" s="11">
        <f>IF(A21&lt;=Inputs!B10,0,INDEX($T$8:$T$127,A21-Inputs!B10))</f>
      </c>
      <c r="G21" s="11">
        <f>AD20-F21</f>
      </c>
      <c r="H21" s="11">
        <f>AE20-IF(A21&lt;=Inputs!B10,0,INDEX($W$8:$W$127,A21-Inputs!B10))</f>
      </c>
      <c r="I21" s="11">
        <f>H21*Inputs!B14/12</f>
      </c>
      <c r="J21" s="11">
        <f>C21+E21+F21-I21</f>
      </c>
      <c r="K21" s="11">
        <f>IF(Inputs!B19=1,MAX(0,Inputs!B5*1000000000-AH20),0)</f>
      </c>
      <c r="L21" s="11">
        <f>MAX(0,J21+K21)</f>
      </c>
      <c r="M21" s="11">
        <f>Inputs!B8*1000000</f>
      </c>
      <c r="N21" s="13">
        <f>Inputs!B9</f>
      </c>
      <c r="O21" s="13">
        <f>MAX(1,SQRT(L21/MAX(M21*MAX(N21,0.01)/(1+Inputs!B11),1)))</f>
      </c>
      <c r="P21" s="13">
        <f>MIN(1,A21/12)</f>
      </c>
      <c r="Q21" s="13">
        <f>IF(Inputs!B7=1,MAX(N21,L21*(1+Inputs!B11)/MAX(M21,1)),N21+(N21*O21-N21)*P21)</f>
      </c>
      <c r="R21" s="11">
        <f>IF(Inputs!B7=1,L21*(1+Inputs!B11),M21*Q21)</f>
      </c>
      <c r="S21" s="11">
        <f>R21/(1+Inputs!B11)</f>
      </c>
      <c r="T21" s="11">
        <f>IF(Inputs!B7=1,L21,MIN(S21,L21))</f>
      </c>
      <c r="U21" s="11">
        <f>IF(Inputs!B19=1,MAX(0,T21-J21),0)</f>
      </c>
      <c r="V21" s="11">
        <f>T21*(1+Inputs!B11)</f>
      </c>
      <c r="W21" s="11">
        <f>V21-T21</f>
      </c>
      <c r="X21" s="11">
        <f>V21*Inputs!B13*MIN(12,Inputs!B10)/12</f>
      </c>
      <c r="Y21" s="11">
        <f>W21*Inputs!B14/12</f>
      </c>
      <c r="Z21" s="11">
        <f>J21+U21-T21+X21-Y21</f>
      </c>
      <c r="AA21" s="11">
        <f>D21+E21-I21+U21+X21-Y21</f>
      </c>
      <c r="AB21" s="11">
        <f>IF(U21&gt;0,AB20*(1+Inputs!B15/12)+U21,AB20*(1+Inputs!B15/12))</f>
      </c>
      <c r="AC21" s="9">
        <f>IF(Inputs!B21&gt;0,AA21/Inputs!B21,0)</f>
      </c>
      <c r="AD21" s="11">
        <f>G21+T21</f>
      </c>
      <c r="AE21" s="11">
        <f>H21+W21</f>
      </c>
      <c r="AF21" s="11">
        <f>AD21+AE21</f>
      </c>
      <c r="AG21" s="13">
        <f>IF(M21&gt;0,V21/M21,0)</f>
      </c>
      <c r="AH21" s="11">
        <f>AH20+U21</f>
      </c>
      <c r="AI21" s="8">
        <f>IFERROR((1+IRR(VSTACK($AJ$8:INDEX($AJ:$AJ,ROW()-1),-U21+AA21)))^12-1,0)</f>
      </c>
      <c r="AJ21" s="11">
        <f>-U21</f>
      </c>
    </row>
    <row r="22">
      <c r="A22" s="13">
        <f>A21+1</f>
      </c>
      <c r="B22" t="inlineStr" s="10">
        <is>
          <t>Month 15</t>
        </is>
      </c>
      <c r="C22" s="11">
        <f>Z21</f>
      </c>
      <c r="D22" s="11">
        <f>AA21</f>
      </c>
      <c r="E22" s="11">
        <f>IF(A22&lt;=12,0,INDEX($V$8:$V$127,A22-12)*Inputs!B13*MAX(0,Inputs!B10-12)/12)</f>
      </c>
      <c r="F22" s="11">
        <f>IF(A22&lt;=Inputs!B10,0,INDEX($T$8:$T$127,A22-Inputs!B10))</f>
      </c>
      <c r="G22" s="11">
        <f>AD21-F22</f>
      </c>
      <c r="H22" s="11">
        <f>AE21-IF(A22&lt;=Inputs!B10,0,INDEX($W$8:$W$127,A22-Inputs!B10))</f>
      </c>
      <c r="I22" s="11">
        <f>H22*Inputs!B14/12</f>
      </c>
      <c r="J22" s="11">
        <f>C22+E22+F22-I22</f>
      </c>
      <c r="K22" s="11">
        <f>IF(Inputs!B19=1,MAX(0,Inputs!B5*1000000000-AH21),0)</f>
      </c>
      <c r="L22" s="11">
        <f>MAX(0,J22+K22)</f>
      </c>
      <c r="M22" s="11">
        <f>Inputs!B8*1000000</f>
      </c>
      <c r="N22" s="13">
        <f>Inputs!B9</f>
      </c>
      <c r="O22" s="13">
        <f>MAX(1,SQRT(L22/MAX(M22*MAX(N22,0.01)/(1+Inputs!B11),1)))</f>
      </c>
      <c r="P22" s="13">
        <f>MIN(1,A22/12)</f>
      </c>
      <c r="Q22" s="13">
        <f>IF(Inputs!B7=1,MAX(N22,L22*(1+Inputs!B11)/MAX(M22,1)),N22+(N22*O22-N22)*P22)</f>
      </c>
      <c r="R22" s="11">
        <f>IF(Inputs!B7=1,L22*(1+Inputs!B11),M22*Q22)</f>
      </c>
      <c r="S22" s="11">
        <f>R22/(1+Inputs!B11)</f>
      </c>
      <c r="T22" s="11">
        <f>IF(Inputs!B7=1,L22,MIN(S22,L22))</f>
      </c>
      <c r="U22" s="11">
        <f>IF(Inputs!B19=1,MAX(0,T22-J22),0)</f>
      </c>
      <c r="V22" s="11">
        <f>T22*(1+Inputs!B11)</f>
      </c>
      <c r="W22" s="11">
        <f>V22-T22</f>
      </c>
      <c r="X22" s="11">
        <f>V22*Inputs!B13*MIN(12,Inputs!B10)/12</f>
      </c>
      <c r="Y22" s="11">
        <f>W22*Inputs!B14/12</f>
      </c>
      <c r="Z22" s="11">
        <f>J22+U22-T22+X22-Y22</f>
      </c>
      <c r="AA22" s="11">
        <f>D22+E22-I22+U22+X22-Y22</f>
      </c>
      <c r="AB22" s="11">
        <f>IF(U22&gt;0,AB21*(1+Inputs!B15/12)+U22,AB21*(1+Inputs!B15/12))</f>
      </c>
      <c r="AC22" s="9">
        <f>IF(Inputs!B21&gt;0,AA22/Inputs!B21,0)</f>
      </c>
      <c r="AD22" s="11">
        <f>G22+T22</f>
      </c>
      <c r="AE22" s="11">
        <f>H22+W22</f>
      </c>
      <c r="AF22" s="11">
        <f>AD22+AE22</f>
      </c>
      <c r="AG22" s="13">
        <f>IF(M22&gt;0,V22/M22,0)</f>
      </c>
      <c r="AH22" s="11">
        <f>AH21+U22</f>
      </c>
      <c r="AI22" s="8">
        <f>IFERROR((1+IRR(VSTACK($AJ$8:INDEX($AJ:$AJ,ROW()-1),-U22+AA22)))^12-1,0)</f>
      </c>
      <c r="AJ22" s="11">
        <f>-U22</f>
      </c>
    </row>
    <row r="23">
      <c r="A23" s="13">
        <f>A22+1</f>
      </c>
      <c r="B23" t="inlineStr" s="10">
        <is>
          <t>Month 16</t>
        </is>
      </c>
      <c r="C23" s="11">
        <f>Z22</f>
      </c>
      <c r="D23" s="11">
        <f>AA22</f>
      </c>
      <c r="E23" s="11">
        <f>IF(A23&lt;=12,0,INDEX($V$8:$V$127,A23-12)*Inputs!B13*MAX(0,Inputs!B10-12)/12)</f>
      </c>
      <c r="F23" s="11">
        <f>IF(A23&lt;=Inputs!B10,0,INDEX($T$8:$T$127,A23-Inputs!B10))</f>
      </c>
      <c r="G23" s="11">
        <f>AD22-F23</f>
      </c>
      <c r="H23" s="11">
        <f>AE22-IF(A23&lt;=Inputs!B10,0,INDEX($W$8:$W$127,A23-Inputs!B10))</f>
      </c>
      <c r="I23" s="11">
        <f>H23*Inputs!B14/12</f>
      </c>
      <c r="J23" s="11">
        <f>C23+E23+F23-I23</f>
      </c>
      <c r="K23" s="11">
        <f>IF(Inputs!B19=1,MAX(0,Inputs!B5*1000000000-AH22),0)</f>
      </c>
      <c r="L23" s="11">
        <f>MAX(0,J23+K23)</f>
      </c>
      <c r="M23" s="11">
        <f>Inputs!B8*1000000</f>
      </c>
      <c r="N23" s="13">
        <f>Inputs!B9</f>
      </c>
      <c r="O23" s="13">
        <f>MAX(1,SQRT(L23/MAX(M23*MAX(N23,0.01)/(1+Inputs!B11),1)))</f>
      </c>
      <c r="P23" s="13">
        <f>MIN(1,A23/12)</f>
      </c>
      <c r="Q23" s="13">
        <f>IF(Inputs!B7=1,MAX(N23,L23*(1+Inputs!B11)/MAX(M23,1)),N23+(N23*O23-N23)*P23)</f>
      </c>
      <c r="R23" s="11">
        <f>IF(Inputs!B7=1,L23*(1+Inputs!B11),M23*Q23)</f>
      </c>
      <c r="S23" s="11">
        <f>R23/(1+Inputs!B11)</f>
      </c>
      <c r="T23" s="11">
        <f>IF(Inputs!B7=1,L23,MIN(S23,L23))</f>
      </c>
      <c r="U23" s="11">
        <f>IF(Inputs!B19=1,MAX(0,T23-J23),0)</f>
      </c>
      <c r="V23" s="11">
        <f>T23*(1+Inputs!B11)</f>
      </c>
      <c r="W23" s="11">
        <f>V23-T23</f>
      </c>
      <c r="X23" s="11">
        <f>V23*Inputs!B13*MIN(12,Inputs!B10)/12</f>
      </c>
      <c r="Y23" s="11">
        <f>W23*Inputs!B14/12</f>
      </c>
      <c r="Z23" s="11">
        <f>J23+U23-T23+X23-Y23</f>
      </c>
      <c r="AA23" s="11">
        <f>D23+E23-I23+U23+X23-Y23</f>
      </c>
      <c r="AB23" s="11">
        <f>IF(U23&gt;0,AB22*(1+Inputs!B15/12)+U23,AB22*(1+Inputs!B15/12))</f>
      </c>
      <c r="AC23" s="9">
        <f>IF(Inputs!B21&gt;0,AA23/Inputs!B21,0)</f>
      </c>
      <c r="AD23" s="11">
        <f>G23+T23</f>
      </c>
      <c r="AE23" s="11">
        <f>H23+W23</f>
      </c>
      <c r="AF23" s="11">
        <f>AD23+AE23</f>
      </c>
      <c r="AG23" s="13">
        <f>IF(M23&gt;0,V23/M23,0)</f>
      </c>
      <c r="AH23" s="11">
        <f>AH22+U23</f>
      </c>
      <c r="AI23" s="8">
        <f>IFERROR((1+IRR(VSTACK($AJ$8:INDEX($AJ:$AJ,ROW()-1),-U23+AA23)))^12-1,0)</f>
      </c>
      <c r="AJ23" s="11">
        <f>-U23</f>
      </c>
    </row>
    <row r="24">
      <c r="A24" s="13">
        <f>A23+1</f>
      </c>
      <c r="B24" t="inlineStr" s="10">
        <is>
          <t>Month 17</t>
        </is>
      </c>
      <c r="C24" s="11">
        <f>Z23</f>
      </c>
      <c r="D24" s="11">
        <f>AA23</f>
      </c>
      <c r="E24" s="11">
        <f>IF(A24&lt;=12,0,INDEX($V$8:$V$127,A24-12)*Inputs!B13*MAX(0,Inputs!B10-12)/12)</f>
      </c>
      <c r="F24" s="11">
        <f>IF(A24&lt;=Inputs!B10,0,INDEX($T$8:$T$127,A24-Inputs!B10))</f>
      </c>
      <c r="G24" s="11">
        <f>AD23-F24</f>
      </c>
      <c r="H24" s="11">
        <f>AE23-IF(A24&lt;=Inputs!B10,0,INDEX($W$8:$W$127,A24-Inputs!B10))</f>
      </c>
      <c r="I24" s="11">
        <f>H24*Inputs!B14/12</f>
      </c>
      <c r="J24" s="11">
        <f>C24+E24+F24-I24</f>
      </c>
      <c r="K24" s="11">
        <f>IF(Inputs!B19=1,MAX(0,Inputs!B5*1000000000-AH23),0)</f>
      </c>
      <c r="L24" s="11">
        <f>MAX(0,J24+K24)</f>
      </c>
      <c r="M24" s="11">
        <f>Inputs!B8*1000000</f>
      </c>
      <c r="N24" s="13">
        <f>Inputs!B9</f>
      </c>
      <c r="O24" s="13">
        <f>MAX(1,SQRT(L24/MAX(M24*MAX(N24,0.01)/(1+Inputs!B11),1)))</f>
      </c>
      <c r="P24" s="13">
        <f>MIN(1,A24/12)</f>
      </c>
      <c r="Q24" s="13">
        <f>IF(Inputs!B7=1,MAX(N24,L24*(1+Inputs!B11)/MAX(M24,1)),N24+(N24*O24-N24)*P24)</f>
      </c>
      <c r="R24" s="11">
        <f>IF(Inputs!B7=1,L24*(1+Inputs!B11),M24*Q24)</f>
      </c>
      <c r="S24" s="11">
        <f>R24/(1+Inputs!B11)</f>
      </c>
      <c r="T24" s="11">
        <f>IF(Inputs!B7=1,L24,MIN(S24,L24))</f>
      </c>
      <c r="U24" s="11">
        <f>IF(Inputs!B19=1,MAX(0,T24-J24),0)</f>
      </c>
      <c r="V24" s="11">
        <f>T24*(1+Inputs!B11)</f>
      </c>
      <c r="W24" s="11">
        <f>V24-T24</f>
      </c>
      <c r="X24" s="11">
        <f>V24*Inputs!B13*MIN(12,Inputs!B10)/12</f>
      </c>
      <c r="Y24" s="11">
        <f>W24*Inputs!B14/12</f>
      </c>
      <c r="Z24" s="11">
        <f>J24+U24-T24+X24-Y24</f>
      </c>
      <c r="AA24" s="11">
        <f>D24+E24-I24+U24+X24-Y24</f>
      </c>
      <c r="AB24" s="11">
        <f>IF(U24&gt;0,AB23*(1+Inputs!B15/12)+U24,AB23*(1+Inputs!B15/12))</f>
      </c>
      <c r="AC24" s="9">
        <f>IF(Inputs!B21&gt;0,AA24/Inputs!B21,0)</f>
      </c>
      <c r="AD24" s="11">
        <f>G24+T24</f>
      </c>
      <c r="AE24" s="11">
        <f>H24+W24</f>
      </c>
      <c r="AF24" s="11">
        <f>AD24+AE24</f>
      </c>
      <c r="AG24" s="13">
        <f>IF(M24&gt;0,V24/M24,0)</f>
      </c>
      <c r="AH24" s="11">
        <f>AH23+U24</f>
      </c>
      <c r="AI24" s="8">
        <f>IFERROR((1+IRR(VSTACK($AJ$8:INDEX($AJ:$AJ,ROW()-1),-U24+AA24)))^12-1,0)</f>
      </c>
      <c r="AJ24" s="11">
        <f>-U24</f>
      </c>
    </row>
    <row r="25">
      <c r="A25" s="13">
        <f>A24+1</f>
      </c>
      <c r="B25" t="inlineStr" s="10">
        <is>
          <t>Month 18</t>
        </is>
      </c>
      <c r="C25" s="11">
        <f>Z24</f>
      </c>
      <c r="D25" s="11">
        <f>AA24</f>
      </c>
      <c r="E25" s="11">
        <f>IF(A25&lt;=12,0,INDEX($V$8:$V$127,A25-12)*Inputs!B13*MAX(0,Inputs!B10-12)/12)</f>
      </c>
      <c r="F25" s="11">
        <f>IF(A25&lt;=Inputs!B10,0,INDEX($T$8:$T$127,A25-Inputs!B10))</f>
      </c>
      <c r="G25" s="11">
        <f>AD24-F25</f>
      </c>
      <c r="H25" s="11">
        <f>AE24-IF(A25&lt;=Inputs!B10,0,INDEX($W$8:$W$127,A25-Inputs!B10))</f>
      </c>
      <c r="I25" s="11">
        <f>H25*Inputs!B14/12</f>
      </c>
      <c r="J25" s="11">
        <f>C25+E25+F25-I25</f>
      </c>
      <c r="K25" s="11">
        <f>IF(Inputs!B19=1,MAX(0,Inputs!B5*1000000000-AH24),0)</f>
      </c>
      <c r="L25" s="11">
        <f>MAX(0,J25+K25)</f>
      </c>
      <c r="M25" s="11">
        <f>Inputs!B8*1000000</f>
      </c>
      <c r="N25" s="13">
        <f>Inputs!B9</f>
      </c>
      <c r="O25" s="13">
        <f>MAX(1,SQRT(L25/MAX(M25*MAX(N25,0.01)/(1+Inputs!B11),1)))</f>
      </c>
      <c r="P25" s="13">
        <f>MIN(1,A25/12)</f>
      </c>
      <c r="Q25" s="13">
        <f>IF(Inputs!B7=1,MAX(N25,L25*(1+Inputs!B11)/MAX(M25,1)),N25+(N25*O25-N25)*P25)</f>
      </c>
      <c r="R25" s="11">
        <f>IF(Inputs!B7=1,L25*(1+Inputs!B11),M25*Q25)</f>
      </c>
      <c r="S25" s="11">
        <f>R25/(1+Inputs!B11)</f>
      </c>
      <c r="T25" s="11">
        <f>IF(Inputs!B7=1,L25,MIN(S25,L25))</f>
      </c>
      <c r="U25" s="11">
        <f>IF(Inputs!B19=1,MAX(0,T25-J25),0)</f>
      </c>
      <c r="V25" s="11">
        <f>T25*(1+Inputs!B11)</f>
      </c>
      <c r="W25" s="11">
        <f>V25-T25</f>
      </c>
      <c r="X25" s="11">
        <f>V25*Inputs!B13*MIN(12,Inputs!B10)/12</f>
      </c>
      <c r="Y25" s="11">
        <f>W25*Inputs!B14/12</f>
      </c>
      <c r="Z25" s="11">
        <f>J25+U25-T25+X25-Y25</f>
      </c>
      <c r="AA25" s="11">
        <f>D25+E25-I25+U25+X25-Y25</f>
      </c>
      <c r="AB25" s="11">
        <f>IF(U25&gt;0,AB24*(1+Inputs!B15/12)+U25,AB24*(1+Inputs!B15/12))</f>
      </c>
      <c r="AC25" s="9">
        <f>IF(Inputs!B21&gt;0,AA25/Inputs!B21,0)</f>
      </c>
      <c r="AD25" s="11">
        <f>G25+T25</f>
      </c>
      <c r="AE25" s="11">
        <f>H25+W25</f>
      </c>
      <c r="AF25" s="11">
        <f>AD25+AE25</f>
      </c>
      <c r="AG25" s="13">
        <f>IF(M25&gt;0,V25/M25,0)</f>
      </c>
      <c r="AH25" s="11">
        <f>AH24+U25</f>
      </c>
      <c r="AI25" s="8">
        <f>IFERROR((1+IRR(VSTACK($AJ$8:INDEX($AJ:$AJ,ROW()-1),-U25+AA25)))^12-1,0)</f>
      </c>
      <c r="AJ25" s="11">
        <f>-U25</f>
      </c>
    </row>
    <row r="26">
      <c r="A26" s="13">
        <f>A25+1</f>
      </c>
      <c r="B26" t="inlineStr" s="10">
        <is>
          <t>Month 19</t>
        </is>
      </c>
      <c r="C26" s="11">
        <f>Z25</f>
      </c>
      <c r="D26" s="11">
        <f>AA25</f>
      </c>
      <c r="E26" s="11">
        <f>IF(A26&lt;=12,0,INDEX($V$8:$V$127,A26-12)*Inputs!B13*MAX(0,Inputs!B10-12)/12)</f>
      </c>
      <c r="F26" s="11">
        <f>IF(A26&lt;=Inputs!B10,0,INDEX($T$8:$T$127,A26-Inputs!B10))</f>
      </c>
      <c r="G26" s="11">
        <f>AD25-F26</f>
      </c>
      <c r="H26" s="11">
        <f>AE25-IF(A26&lt;=Inputs!B10,0,INDEX($W$8:$W$127,A26-Inputs!B10))</f>
      </c>
      <c r="I26" s="11">
        <f>H26*Inputs!B14/12</f>
      </c>
      <c r="J26" s="11">
        <f>C26+E26+F26-I26</f>
      </c>
      <c r="K26" s="11">
        <f>IF(Inputs!B19=1,MAX(0,Inputs!B5*1000000000-AH25),0)</f>
      </c>
      <c r="L26" s="11">
        <f>MAX(0,J26+K26)</f>
      </c>
      <c r="M26" s="11">
        <f>Inputs!B8*1000000</f>
      </c>
      <c r="N26" s="13">
        <f>Inputs!B9</f>
      </c>
      <c r="O26" s="13">
        <f>MAX(1,SQRT(L26/MAX(M26*MAX(N26,0.01)/(1+Inputs!B11),1)))</f>
      </c>
      <c r="P26" s="13">
        <f>MIN(1,A26/12)</f>
      </c>
      <c r="Q26" s="13">
        <f>IF(Inputs!B7=1,MAX(N26,L26*(1+Inputs!B11)/MAX(M26,1)),N26+(N26*O26-N26)*P26)</f>
      </c>
      <c r="R26" s="11">
        <f>IF(Inputs!B7=1,L26*(1+Inputs!B11),M26*Q26)</f>
      </c>
      <c r="S26" s="11">
        <f>R26/(1+Inputs!B11)</f>
      </c>
      <c r="T26" s="11">
        <f>IF(Inputs!B7=1,L26,MIN(S26,L26))</f>
      </c>
      <c r="U26" s="11">
        <f>IF(Inputs!B19=1,MAX(0,T26-J26),0)</f>
      </c>
      <c r="V26" s="11">
        <f>T26*(1+Inputs!B11)</f>
      </c>
      <c r="W26" s="11">
        <f>V26-T26</f>
      </c>
      <c r="X26" s="11">
        <f>V26*Inputs!B13*MIN(12,Inputs!B10)/12</f>
      </c>
      <c r="Y26" s="11">
        <f>W26*Inputs!B14/12</f>
      </c>
      <c r="Z26" s="11">
        <f>J26+U26-T26+X26-Y26</f>
      </c>
      <c r="AA26" s="11">
        <f>D26+E26-I26+U26+X26-Y26</f>
      </c>
      <c r="AB26" s="11">
        <f>IF(U26&gt;0,AB25*(1+Inputs!B15/12)+U26,AB25*(1+Inputs!B15/12))</f>
      </c>
      <c r="AC26" s="9">
        <f>IF(Inputs!B21&gt;0,AA26/Inputs!B21,0)</f>
      </c>
      <c r="AD26" s="11">
        <f>G26+T26</f>
      </c>
      <c r="AE26" s="11">
        <f>H26+W26</f>
      </c>
      <c r="AF26" s="11">
        <f>AD26+AE26</f>
      </c>
      <c r="AG26" s="13">
        <f>IF(M26&gt;0,V26/M26,0)</f>
      </c>
      <c r="AH26" s="11">
        <f>AH25+U26</f>
      </c>
      <c r="AI26" s="8">
        <f>IFERROR((1+IRR(VSTACK($AJ$8:INDEX($AJ:$AJ,ROW()-1),-U26+AA26)))^12-1,0)</f>
      </c>
      <c r="AJ26" s="11">
        <f>-U26</f>
      </c>
    </row>
    <row r="27">
      <c r="A27" s="13">
        <f>A26+1</f>
      </c>
      <c r="B27" t="inlineStr" s="10">
        <is>
          <t>Month 20</t>
        </is>
      </c>
      <c r="C27" s="11">
        <f>Z26</f>
      </c>
      <c r="D27" s="11">
        <f>AA26</f>
      </c>
      <c r="E27" s="11">
        <f>IF(A27&lt;=12,0,INDEX($V$8:$V$127,A27-12)*Inputs!B13*MAX(0,Inputs!B10-12)/12)</f>
      </c>
      <c r="F27" s="11">
        <f>IF(A27&lt;=Inputs!B10,0,INDEX($T$8:$T$127,A27-Inputs!B10))</f>
      </c>
      <c r="G27" s="11">
        <f>AD26-F27</f>
      </c>
      <c r="H27" s="11">
        <f>AE26-IF(A27&lt;=Inputs!B10,0,INDEX($W$8:$W$127,A27-Inputs!B10))</f>
      </c>
      <c r="I27" s="11">
        <f>H27*Inputs!B14/12</f>
      </c>
      <c r="J27" s="11">
        <f>C27+E27+F27-I27</f>
      </c>
      <c r="K27" s="11">
        <f>IF(Inputs!B19=1,MAX(0,Inputs!B5*1000000000-AH26),0)</f>
      </c>
      <c r="L27" s="11">
        <f>MAX(0,J27+K27)</f>
      </c>
      <c r="M27" s="11">
        <f>Inputs!B8*1000000</f>
      </c>
      <c r="N27" s="13">
        <f>Inputs!B9</f>
      </c>
      <c r="O27" s="13">
        <f>MAX(1,SQRT(L27/MAX(M27*MAX(N27,0.01)/(1+Inputs!B11),1)))</f>
      </c>
      <c r="P27" s="13">
        <f>MIN(1,A27/12)</f>
      </c>
      <c r="Q27" s="13">
        <f>IF(Inputs!B7=1,MAX(N27,L27*(1+Inputs!B11)/MAX(M27,1)),N27+(N27*O27-N27)*P27)</f>
      </c>
      <c r="R27" s="11">
        <f>IF(Inputs!B7=1,L27*(1+Inputs!B11),M27*Q27)</f>
      </c>
      <c r="S27" s="11">
        <f>R27/(1+Inputs!B11)</f>
      </c>
      <c r="T27" s="11">
        <f>IF(Inputs!B7=1,L27,MIN(S27,L27))</f>
      </c>
      <c r="U27" s="11">
        <f>IF(Inputs!B19=1,MAX(0,T27-J27),0)</f>
      </c>
      <c r="V27" s="11">
        <f>T27*(1+Inputs!B11)</f>
      </c>
      <c r="W27" s="11">
        <f>V27-T27</f>
      </c>
      <c r="X27" s="11">
        <f>V27*Inputs!B13*MIN(12,Inputs!B10)/12</f>
      </c>
      <c r="Y27" s="11">
        <f>W27*Inputs!B14/12</f>
      </c>
      <c r="Z27" s="11">
        <f>J27+U27-T27+X27-Y27</f>
      </c>
      <c r="AA27" s="11">
        <f>D27+E27-I27+U27+X27-Y27</f>
      </c>
      <c r="AB27" s="11">
        <f>IF(U27&gt;0,AB26*(1+Inputs!B15/12)+U27,AB26*(1+Inputs!B15/12))</f>
      </c>
      <c r="AC27" s="9">
        <f>IF(Inputs!B21&gt;0,AA27/Inputs!B21,0)</f>
      </c>
      <c r="AD27" s="11">
        <f>G27+T27</f>
      </c>
      <c r="AE27" s="11">
        <f>H27+W27</f>
      </c>
      <c r="AF27" s="11">
        <f>AD27+AE27</f>
      </c>
      <c r="AG27" s="13">
        <f>IF(M27&gt;0,V27/M27,0)</f>
      </c>
      <c r="AH27" s="11">
        <f>AH26+U27</f>
      </c>
      <c r="AI27" s="8">
        <f>IFERROR((1+IRR(VSTACK($AJ$8:INDEX($AJ:$AJ,ROW()-1),-U27+AA27)))^12-1,0)</f>
      </c>
      <c r="AJ27" s="11">
        <f>-U27</f>
      </c>
    </row>
    <row r="28">
      <c r="A28" s="13">
        <f>A27+1</f>
      </c>
      <c r="B28" t="inlineStr" s="10">
        <is>
          <t>Month 21</t>
        </is>
      </c>
      <c r="C28" s="11">
        <f>Z27</f>
      </c>
      <c r="D28" s="11">
        <f>AA27</f>
      </c>
      <c r="E28" s="11">
        <f>IF(A28&lt;=12,0,INDEX($V$8:$V$127,A28-12)*Inputs!B13*MAX(0,Inputs!B10-12)/12)</f>
      </c>
      <c r="F28" s="11">
        <f>IF(A28&lt;=Inputs!B10,0,INDEX($T$8:$T$127,A28-Inputs!B10))</f>
      </c>
      <c r="G28" s="11">
        <f>AD27-F28</f>
      </c>
      <c r="H28" s="11">
        <f>AE27-IF(A28&lt;=Inputs!B10,0,INDEX($W$8:$W$127,A28-Inputs!B10))</f>
      </c>
      <c r="I28" s="11">
        <f>H28*Inputs!B14/12</f>
      </c>
      <c r="J28" s="11">
        <f>C28+E28+F28-I28</f>
      </c>
      <c r="K28" s="11">
        <f>IF(Inputs!B19=1,MAX(0,Inputs!B5*1000000000-AH27),0)</f>
      </c>
      <c r="L28" s="11">
        <f>MAX(0,J28+K28)</f>
      </c>
      <c r="M28" s="11">
        <f>Inputs!B8*1000000</f>
      </c>
      <c r="N28" s="13">
        <f>Inputs!B9</f>
      </c>
      <c r="O28" s="13">
        <f>MAX(1,SQRT(L28/MAX(M28*MAX(N28,0.01)/(1+Inputs!B11),1)))</f>
      </c>
      <c r="P28" s="13">
        <f>MIN(1,A28/12)</f>
      </c>
      <c r="Q28" s="13">
        <f>IF(Inputs!B7=1,MAX(N28,L28*(1+Inputs!B11)/MAX(M28,1)),N28+(N28*O28-N28)*P28)</f>
      </c>
      <c r="R28" s="11">
        <f>IF(Inputs!B7=1,L28*(1+Inputs!B11),M28*Q28)</f>
      </c>
      <c r="S28" s="11">
        <f>R28/(1+Inputs!B11)</f>
      </c>
      <c r="T28" s="11">
        <f>IF(Inputs!B7=1,L28,MIN(S28,L28))</f>
      </c>
      <c r="U28" s="11">
        <f>IF(Inputs!B19=1,MAX(0,T28-J28),0)</f>
      </c>
      <c r="V28" s="11">
        <f>T28*(1+Inputs!B11)</f>
      </c>
      <c r="W28" s="11">
        <f>V28-T28</f>
      </c>
      <c r="X28" s="11">
        <f>V28*Inputs!B13*MIN(12,Inputs!B10)/12</f>
      </c>
      <c r="Y28" s="11">
        <f>W28*Inputs!B14/12</f>
      </c>
      <c r="Z28" s="11">
        <f>J28+U28-T28+X28-Y28</f>
      </c>
      <c r="AA28" s="11">
        <f>D28+E28-I28+U28+X28-Y28</f>
      </c>
      <c r="AB28" s="11">
        <f>IF(U28&gt;0,AB27*(1+Inputs!B15/12)+U28,AB27*(1+Inputs!B15/12))</f>
      </c>
      <c r="AC28" s="9">
        <f>IF(Inputs!B21&gt;0,AA28/Inputs!B21,0)</f>
      </c>
      <c r="AD28" s="11">
        <f>G28+T28</f>
      </c>
      <c r="AE28" s="11">
        <f>H28+W28</f>
      </c>
      <c r="AF28" s="11">
        <f>AD28+AE28</f>
      </c>
      <c r="AG28" s="13">
        <f>IF(M28&gt;0,V28/M28,0)</f>
      </c>
      <c r="AH28" s="11">
        <f>AH27+U28</f>
      </c>
      <c r="AI28" s="8">
        <f>IFERROR((1+IRR(VSTACK($AJ$8:INDEX($AJ:$AJ,ROW()-1),-U28+AA28)))^12-1,0)</f>
      </c>
      <c r="AJ28" s="11">
        <f>-U28</f>
      </c>
    </row>
    <row r="29">
      <c r="A29" s="13">
        <f>A28+1</f>
      </c>
      <c r="B29" t="inlineStr" s="10">
        <is>
          <t>Month 22</t>
        </is>
      </c>
      <c r="C29" s="11">
        <f>Z28</f>
      </c>
      <c r="D29" s="11">
        <f>AA28</f>
      </c>
      <c r="E29" s="11">
        <f>IF(A29&lt;=12,0,INDEX($V$8:$V$127,A29-12)*Inputs!B13*MAX(0,Inputs!B10-12)/12)</f>
      </c>
      <c r="F29" s="11">
        <f>IF(A29&lt;=Inputs!B10,0,INDEX($T$8:$T$127,A29-Inputs!B10))</f>
      </c>
      <c r="G29" s="11">
        <f>AD28-F29</f>
      </c>
      <c r="H29" s="11">
        <f>AE28-IF(A29&lt;=Inputs!B10,0,INDEX($W$8:$W$127,A29-Inputs!B10))</f>
      </c>
      <c r="I29" s="11">
        <f>H29*Inputs!B14/12</f>
      </c>
      <c r="J29" s="11">
        <f>C29+E29+F29-I29</f>
      </c>
      <c r="K29" s="11">
        <f>IF(Inputs!B19=1,MAX(0,Inputs!B5*1000000000-AH28),0)</f>
      </c>
      <c r="L29" s="11">
        <f>MAX(0,J29+K29)</f>
      </c>
      <c r="M29" s="11">
        <f>Inputs!B8*1000000</f>
      </c>
      <c r="N29" s="13">
        <f>Inputs!B9</f>
      </c>
      <c r="O29" s="13">
        <f>MAX(1,SQRT(L29/MAX(M29*MAX(N29,0.01)/(1+Inputs!B11),1)))</f>
      </c>
      <c r="P29" s="13">
        <f>MIN(1,A29/12)</f>
      </c>
      <c r="Q29" s="13">
        <f>IF(Inputs!B7=1,MAX(N29,L29*(1+Inputs!B11)/MAX(M29,1)),N29+(N29*O29-N29)*P29)</f>
      </c>
      <c r="R29" s="11">
        <f>IF(Inputs!B7=1,L29*(1+Inputs!B11),M29*Q29)</f>
      </c>
      <c r="S29" s="11">
        <f>R29/(1+Inputs!B11)</f>
      </c>
      <c r="T29" s="11">
        <f>IF(Inputs!B7=1,L29,MIN(S29,L29))</f>
      </c>
      <c r="U29" s="11">
        <f>IF(Inputs!B19=1,MAX(0,T29-J29),0)</f>
      </c>
      <c r="V29" s="11">
        <f>T29*(1+Inputs!B11)</f>
      </c>
      <c r="W29" s="11">
        <f>V29-T29</f>
      </c>
      <c r="X29" s="11">
        <f>V29*Inputs!B13*MIN(12,Inputs!B10)/12</f>
      </c>
      <c r="Y29" s="11">
        <f>W29*Inputs!B14/12</f>
      </c>
      <c r="Z29" s="11">
        <f>J29+U29-T29+X29-Y29</f>
      </c>
      <c r="AA29" s="11">
        <f>D29+E29-I29+U29+X29-Y29</f>
      </c>
      <c r="AB29" s="11">
        <f>IF(U29&gt;0,AB28*(1+Inputs!B15/12)+U29,AB28*(1+Inputs!B15/12))</f>
      </c>
      <c r="AC29" s="9">
        <f>IF(Inputs!B21&gt;0,AA29/Inputs!B21,0)</f>
      </c>
      <c r="AD29" s="11">
        <f>G29+T29</f>
      </c>
      <c r="AE29" s="11">
        <f>H29+W29</f>
      </c>
      <c r="AF29" s="11">
        <f>AD29+AE29</f>
      </c>
      <c r="AG29" s="13">
        <f>IF(M29&gt;0,V29/M29,0)</f>
      </c>
      <c r="AH29" s="11">
        <f>AH28+U29</f>
      </c>
      <c r="AI29" s="8">
        <f>IFERROR((1+IRR(VSTACK($AJ$8:INDEX($AJ:$AJ,ROW()-1),-U29+AA29)))^12-1,0)</f>
      </c>
      <c r="AJ29" s="11">
        <f>-U29</f>
      </c>
    </row>
    <row r="30">
      <c r="A30" s="13">
        <f>A29+1</f>
      </c>
      <c r="B30" t="inlineStr" s="10">
        <is>
          <t>Month 23</t>
        </is>
      </c>
      <c r="C30" s="11">
        <f>Z29</f>
      </c>
      <c r="D30" s="11">
        <f>AA29</f>
      </c>
      <c r="E30" s="11">
        <f>IF(A30&lt;=12,0,INDEX($V$8:$V$127,A30-12)*Inputs!B13*MAX(0,Inputs!B10-12)/12)</f>
      </c>
      <c r="F30" s="11">
        <f>IF(A30&lt;=Inputs!B10,0,INDEX($T$8:$T$127,A30-Inputs!B10))</f>
      </c>
      <c r="G30" s="11">
        <f>AD29-F30</f>
      </c>
      <c r="H30" s="11">
        <f>AE29-IF(A30&lt;=Inputs!B10,0,INDEX($W$8:$W$127,A30-Inputs!B10))</f>
      </c>
      <c r="I30" s="11">
        <f>H30*Inputs!B14/12</f>
      </c>
      <c r="J30" s="11">
        <f>C30+E30+F30-I30</f>
      </c>
      <c r="K30" s="11">
        <f>IF(Inputs!B19=1,MAX(0,Inputs!B5*1000000000-AH29),0)</f>
      </c>
      <c r="L30" s="11">
        <f>MAX(0,J30+K30)</f>
      </c>
      <c r="M30" s="11">
        <f>Inputs!B8*1000000</f>
      </c>
      <c r="N30" s="13">
        <f>Inputs!B9</f>
      </c>
      <c r="O30" s="13">
        <f>MAX(1,SQRT(L30/MAX(M30*MAX(N30,0.01)/(1+Inputs!B11),1)))</f>
      </c>
      <c r="P30" s="13">
        <f>MIN(1,A30/12)</f>
      </c>
      <c r="Q30" s="13">
        <f>IF(Inputs!B7=1,MAX(N30,L30*(1+Inputs!B11)/MAX(M30,1)),N30+(N30*O30-N30)*P30)</f>
      </c>
      <c r="R30" s="11">
        <f>IF(Inputs!B7=1,L30*(1+Inputs!B11),M30*Q30)</f>
      </c>
      <c r="S30" s="11">
        <f>R30/(1+Inputs!B11)</f>
      </c>
      <c r="T30" s="11">
        <f>IF(Inputs!B7=1,L30,MIN(S30,L30))</f>
      </c>
      <c r="U30" s="11">
        <f>IF(Inputs!B19=1,MAX(0,T30-J30),0)</f>
      </c>
      <c r="V30" s="11">
        <f>T30*(1+Inputs!B11)</f>
      </c>
      <c r="W30" s="11">
        <f>V30-T30</f>
      </c>
      <c r="X30" s="11">
        <f>V30*Inputs!B13*MIN(12,Inputs!B10)/12</f>
      </c>
      <c r="Y30" s="11">
        <f>W30*Inputs!B14/12</f>
      </c>
      <c r="Z30" s="11">
        <f>J30+U30-T30+X30-Y30</f>
      </c>
      <c r="AA30" s="11">
        <f>D30+E30-I30+U30+X30-Y30</f>
      </c>
      <c r="AB30" s="11">
        <f>IF(U30&gt;0,AB29*(1+Inputs!B15/12)+U30,AB29*(1+Inputs!B15/12))</f>
      </c>
      <c r="AC30" s="9">
        <f>IF(Inputs!B21&gt;0,AA30/Inputs!B21,0)</f>
      </c>
      <c r="AD30" s="11">
        <f>G30+T30</f>
      </c>
      <c r="AE30" s="11">
        <f>H30+W30</f>
      </c>
      <c r="AF30" s="11">
        <f>AD30+AE30</f>
      </c>
      <c r="AG30" s="13">
        <f>IF(M30&gt;0,V30/M30,0)</f>
      </c>
      <c r="AH30" s="11">
        <f>AH29+U30</f>
      </c>
      <c r="AI30" s="8">
        <f>IFERROR((1+IRR(VSTACK($AJ$8:INDEX($AJ:$AJ,ROW()-1),-U30+AA30)))^12-1,0)</f>
      </c>
      <c r="AJ30" s="11">
        <f>-U30</f>
      </c>
    </row>
    <row r="31">
      <c r="A31" s="13">
        <f>A30+1</f>
      </c>
      <c r="B31" t="inlineStr" s="10">
        <is>
          <t>Month 24</t>
        </is>
      </c>
      <c r="C31" s="11">
        <f>Z30</f>
      </c>
      <c r="D31" s="11">
        <f>AA30</f>
      </c>
      <c r="E31" s="11">
        <f>IF(A31&lt;=12,0,INDEX($V$8:$V$127,A31-12)*Inputs!B13*MAX(0,Inputs!B10-12)/12)</f>
      </c>
      <c r="F31" s="11">
        <f>IF(A31&lt;=Inputs!B10,0,INDEX($T$8:$T$127,A31-Inputs!B10))</f>
      </c>
      <c r="G31" s="11">
        <f>AD30-F31</f>
      </c>
      <c r="H31" s="11">
        <f>AE30-IF(A31&lt;=Inputs!B10,0,INDEX($W$8:$W$127,A31-Inputs!B10))</f>
      </c>
      <c r="I31" s="11">
        <f>H31*Inputs!B14/12</f>
      </c>
      <c r="J31" s="11">
        <f>C31+E31+F31-I31</f>
      </c>
      <c r="K31" s="11">
        <f>IF(Inputs!B19=1,MAX(0,Inputs!B5*1000000000-AH30),0)</f>
      </c>
      <c r="L31" s="11">
        <f>MAX(0,J31+K31)</f>
      </c>
      <c r="M31" s="11">
        <f>Inputs!B8*1000000</f>
      </c>
      <c r="N31" s="13">
        <f>Inputs!B9</f>
      </c>
      <c r="O31" s="13">
        <f>MAX(1,SQRT(L31/MAX(M31*MAX(N31,0.01)/(1+Inputs!B11),1)))</f>
      </c>
      <c r="P31" s="13">
        <f>MIN(1,A31/12)</f>
      </c>
      <c r="Q31" s="13">
        <f>IF(Inputs!B7=1,MAX(N31,L31*(1+Inputs!B11)/MAX(M31,1)),N31+(N31*O31-N31)*P31)</f>
      </c>
      <c r="R31" s="11">
        <f>IF(Inputs!B7=1,L31*(1+Inputs!B11),M31*Q31)</f>
      </c>
      <c r="S31" s="11">
        <f>R31/(1+Inputs!B11)</f>
      </c>
      <c r="T31" s="11">
        <f>IF(Inputs!B7=1,L31,MIN(S31,L31))</f>
      </c>
      <c r="U31" s="11">
        <f>IF(Inputs!B19=1,MAX(0,T31-J31),0)</f>
      </c>
      <c r="V31" s="11">
        <f>T31*(1+Inputs!B11)</f>
      </c>
      <c r="W31" s="11">
        <f>V31-T31</f>
      </c>
      <c r="X31" s="11">
        <f>V31*Inputs!B13*MIN(12,Inputs!B10)/12</f>
      </c>
      <c r="Y31" s="11">
        <f>W31*Inputs!B14/12</f>
      </c>
      <c r="Z31" s="11">
        <f>J31+U31-T31+X31-Y31</f>
      </c>
      <c r="AA31" s="11">
        <f>D31+E31-I31+U31+X31-Y31</f>
      </c>
      <c r="AB31" s="11">
        <f>IF(U31&gt;0,AB30*(1+Inputs!B15/12)+U31,AB30*(1+Inputs!B15/12))</f>
      </c>
      <c r="AC31" s="9">
        <f>IF(Inputs!B21&gt;0,AA31/Inputs!B21,0)</f>
      </c>
      <c r="AD31" s="11">
        <f>G31+T31</f>
      </c>
      <c r="AE31" s="11">
        <f>H31+W31</f>
      </c>
      <c r="AF31" s="11">
        <f>AD31+AE31</f>
      </c>
      <c r="AG31" s="13">
        <f>IF(M31&gt;0,V31/M31,0)</f>
      </c>
      <c r="AH31" s="11">
        <f>AH30+U31</f>
      </c>
      <c r="AI31" s="8">
        <f>IFERROR((1+IRR(VSTACK($AJ$8:INDEX($AJ:$AJ,ROW()-1),-U31+AA31)))^12-1,0)</f>
      </c>
      <c r="AJ31" s="11">
        <f>-U31</f>
      </c>
    </row>
    <row r="32">
      <c r="A32" s="13">
        <f>A31+1</f>
      </c>
      <c r="B32" t="inlineStr" s="10">
        <is>
          <t>Month 25</t>
        </is>
      </c>
      <c r="C32" s="11">
        <f>Z31</f>
      </c>
      <c r="D32" s="11">
        <f>AA31</f>
      </c>
      <c r="E32" s="11">
        <f>IF(A32&lt;=12,0,INDEX($V$8:$V$127,A32-12)*Inputs!B13*MAX(0,Inputs!B10-12)/12)</f>
      </c>
      <c r="F32" s="11">
        <f>IF(A32&lt;=Inputs!B10,0,INDEX($T$8:$T$127,A32-Inputs!B10))</f>
      </c>
      <c r="G32" s="11">
        <f>AD31-F32</f>
      </c>
      <c r="H32" s="11">
        <f>AE31-IF(A32&lt;=Inputs!B10,0,INDEX($W$8:$W$127,A32-Inputs!B10))</f>
      </c>
      <c r="I32" s="11">
        <f>H32*Inputs!B14/12</f>
      </c>
      <c r="J32" s="11">
        <f>C32+E32+F32-I32</f>
      </c>
      <c r="K32" s="11">
        <f>IF(Inputs!B19=1,MAX(0,Inputs!B5*1000000000-AH31),0)</f>
      </c>
      <c r="L32" s="11">
        <f>MAX(0,J32+K32)</f>
      </c>
      <c r="M32" s="11">
        <f>Inputs!B8*1000000</f>
      </c>
      <c r="N32" s="13">
        <f>Inputs!B9</f>
      </c>
      <c r="O32" s="13">
        <f>MAX(1,SQRT(L32/MAX(M32*MAX(N32,0.01)/(1+Inputs!B11),1)))</f>
      </c>
      <c r="P32" s="13">
        <f>MIN(1,A32/12)</f>
      </c>
      <c r="Q32" s="13">
        <f>IF(Inputs!B7=1,MAX(N32,L32*(1+Inputs!B11)/MAX(M32,1)),N32+(N32*O32-N32)*P32)</f>
      </c>
      <c r="R32" s="11">
        <f>IF(Inputs!B7=1,L32*(1+Inputs!B11),M32*Q32)</f>
      </c>
      <c r="S32" s="11">
        <f>R32/(1+Inputs!B11)</f>
      </c>
      <c r="T32" s="11">
        <f>IF(Inputs!B7=1,L32,MIN(S32,L32))</f>
      </c>
      <c r="U32" s="11">
        <f>IF(Inputs!B19=1,MAX(0,T32-J32),0)</f>
      </c>
      <c r="V32" s="11">
        <f>T32*(1+Inputs!B11)</f>
      </c>
      <c r="W32" s="11">
        <f>V32-T32</f>
      </c>
      <c r="X32" s="11">
        <f>V32*Inputs!B13*MIN(12,Inputs!B10)/12</f>
      </c>
      <c r="Y32" s="11">
        <f>W32*Inputs!B14/12</f>
      </c>
      <c r="Z32" s="11">
        <f>J32+U32-T32+X32-Y32</f>
      </c>
      <c r="AA32" s="11">
        <f>D32+E32-I32+U32+X32-Y32</f>
      </c>
      <c r="AB32" s="11">
        <f>IF(U32&gt;0,AB31*(1+Inputs!B15/12)+U32,AB31*(1+Inputs!B15/12))</f>
      </c>
      <c r="AC32" s="9">
        <f>IF(Inputs!B21&gt;0,AA32/Inputs!B21,0)</f>
      </c>
      <c r="AD32" s="11">
        <f>G32+T32</f>
      </c>
      <c r="AE32" s="11">
        <f>H32+W32</f>
      </c>
      <c r="AF32" s="11">
        <f>AD32+AE32</f>
      </c>
      <c r="AG32" s="13">
        <f>IF(M32&gt;0,V32/M32,0)</f>
      </c>
      <c r="AH32" s="11">
        <f>AH31+U32</f>
      </c>
      <c r="AI32" s="8">
        <f>IFERROR((1+IRR(VSTACK($AJ$8:INDEX($AJ:$AJ,ROW()-1),-U32+AA32)))^12-1,0)</f>
      </c>
      <c r="AJ32" s="11">
        <f>-U32</f>
      </c>
    </row>
    <row r="33">
      <c r="A33" s="13">
        <f>A32+1</f>
      </c>
      <c r="B33" t="inlineStr" s="10">
        <is>
          <t>Month 26</t>
        </is>
      </c>
      <c r="C33" s="11">
        <f>Z32</f>
      </c>
      <c r="D33" s="11">
        <f>AA32</f>
      </c>
      <c r="E33" s="11">
        <f>IF(A33&lt;=12,0,INDEX($V$8:$V$127,A33-12)*Inputs!B13*MAX(0,Inputs!B10-12)/12)</f>
      </c>
      <c r="F33" s="11">
        <f>IF(A33&lt;=Inputs!B10,0,INDEX($T$8:$T$127,A33-Inputs!B10))</f>
      </c>
      <c r="G33" s="11">
        <f>AD32-F33</f>
      </c>
      <c r="H33" s="11">
        <f>AE32-IF(A33&lt;=Inputs!B10,0,INDEX($W$8:$W$127,A33-Inputs!B10))</f>
      </c>
      <c r="I33" s="11">
        <f>H33*Inputs!B14/12</f>
      </c>
      <c r="J33" s="11">
        <f>C33+E33+F33-I33</f>
      </c>
      <c r="K33" s="11">
        <f>IF(Inputs!B19=1,MAX(0,Inputs!B5*1000000000-AH32),0)</f>
      </c>
      <c r="L33" s="11">
        <f>MAX(0,J33+K33)</f>
      </c>
      <c r="M33" s="11">
        <f>Inputs!B8*1000000</f>
      </c>
      <c r="N33" s="13">
        <f>Inputs!B9</f>
      </c>
      <c r="O33" s="13">
        <f>MAX(1,SQRT(L33/MAX(M33*MAX(N33,0.01)/(1+Inputs!B11),1)))</f>
      </c>
      <c r="P33" s="13">
        <f>MIN(1,A33/12)</f>
      </c>
      <c r="Q33" s="13">
        <f>IF(Inputs!B7=1,MAX(N33,L33*(1+Inputs!B11)/MAX(M33,1)),N33+(N33*O33-N33)*P33)</f>
      </c>
      <c r="R33" s="11">
        <f>IF(Inputs!B7=1,L33*(1+Inputs!B11),M33*Q33)</f>
      </c>
      <c r="S33" s="11">
        <f>R33/(1+Inputs!B11)</f>
      </c>
      <c r="T33" s="11">
        <f>IF(Inputs!B7=1,L33,MIN(S33,L33))</f>
      </c>
      <c r="U33" s="11">
        <f>IF(Inputs!B19=1,MAX(0,T33-J33),0)</f>
      </c>
      <c r="V33" s="11">
        <f>T33*(1+Inputs!B11)</f>
      </c>
      <c r="W33" s="11">
        <f>V33-T33</f>
      </c>
      <c r="X33" s="11">
        <f>V33*Inputs!B13*MIN(12,Inputs!B10)/12</f>
      </c>
      <c r="Y33" s="11">
        <f>W33*Inputs!B14/12</f>
      </c>
      <c r="Z33" s="11">
        <f>J33+U33-T33+X33-Y33</f>
      </c>
      <c r="AA33" s="11">
        <f>D33+E33-I33+U33+X33-Y33</f>
      </c>
      <c r="AB33" s="11">
        <f>IF(U33&gt;0,AB32*(1+Inputs!B15/12)+U33,AB32*(1+Inputs!B15/12))</f>
      </c>
      <c r="AC33" s="9">
        <f>IF(Inputs!B21&gt;0,AA33/Inputs!B21,0)</f>
      </c>
      <c r="AD33" s="11">
        <f>G33+T33</f>
      </c>
      <c r="AE33" s="11">
        <f>H33+W33</f>
      </c>
      <c r="AF33" s="11">
        <f>AD33+AE33</f>
      </c>
      <c r="AG33" s="13">
        <f>IF(M33&gt;0,V33/M33,0)</f>
      </c>
      <c r="AH33" s="11">
        <f>AH32+U33</f>
      </c>
      <c r="AI33" s="8">
        <f>IFERROR((1+IRR(VSTACK($AJ$8:INDEX($AJ:$AJ,ROW()-1),-U33+AA33)))^12-1,0)</f>
      </c>
      <c r="AJ33" s="11">
        <f>-U33</f>
      </c>
    </row>
    <row r="34">
      <c r="A34" s="13">
        <f>A33+1</f>
      </c>
      <c r="B34" t="inlineStr" s="10">
        <is>
          <t>Month 27</t>
        </is>
      </c>
      <c r="C34" s="11">
        <f>Z33</f>
      </c>
      <c r="D34" s="11">
        <f>AA33</f>
      </c>
      <c r="E34" s="11">
        <f>IF(A34&lt;=12,0,INDEX($V$8:$V$127,A34-12)*Inputs!B13*MAX(0,Inputs!B10-12)/12)</f>
      </c>
      <c r="F34" s="11">
        <f>IF(A34&lt;=Inputs!B10,0,INDEX($T$8:$T$127,A34-Inputs!B10))</f>
      </c>
      <c r="G34" s="11">
        <f>AD33-F34</f>
      </c>
      <c r="H34" s="11">
        <f>AE33-IF(A34&lt;=Inputs!B10,0,INDEX($W$8:$W$127,A34-Inputs!B10))</f>
      </c>
      <c r="I34" s="11">
        <f>H34*Inputs!B14/12</f>
      </c>
      <c r="J34" s="11">
        <f>C34+E34+F34-I34</f>
      </c>
      <c r="K34" s="11">
        <f>IF(Inputs!B19=1,MAX(0,Inputs!B5*1000000000-AH33),0)</f>
      </c>
      <c r="L34" s="11">
        <f>MAX(0,J34+K34)</f>
      </c>
      <c r="M34" s="11">
        <f>Inputs!B8*1000000</f>
      </c>
      <c r="N34" s="13">
        <f>Inputs!B9</f>
      </c>
      <c r="O34" s="13">
        <f>MAX(1,SQRT(L34/MAX(M34*MAX(N34,0.01)/(1+Inputs!B11),1)))</f>
      </c>
      <c r="P34" s="13">
        <f>MIN(1,A34/12)</f>
      </c>
      <c r="Q34" s="13">
        <f>IF(Inputs!B7=1,MAX(N34,L34*(1+Inputs!B11)/MAX(M34,1)),N34+(N34*O34-N34)*P34)</f>
      </c>
      <c r="R34" s="11">
        <f>IF(Inputs!B7=1,L34*(1+Inputs!B11),M34*Q34)</f>
      </c>
      <c r="S34" s="11">
        <f>R34/(1+Inputs!B11)</f>
      </c>
      <c r="T34" s="11">
        <f>IF(Inputs!B7=1,L34,MIN(S34,L34))</f>
      </c>
      <c r="U34" s="11">
        <f>IF(Inputs!B19=1,MAX(0,T34-J34),0)</f>
      </c>
      <c r="V34" s="11">
        <f>T34*(1+Inputs!B11)</f>
      </c>
      <c r="W34" s="11">
        <f>V34-T34</f>
      </c>
      <c r="X34" s="11">
        <f>V34*Inputs!B13*MIN(12,Inputs!B10)/12</f>
      </c>
      <c r="Y34" s="11">
        <f>W34*Inputs!B14/12</f>
      </c>
      <c r="Z34" s="11">
        <f>J34+U34-T34+X34-Y34</f>
      </c>
      <c r="AA34" s="11">
        <f>D34+E34-I34+U34+X34-Y34</f>
      </c>
      <c r="AB34" s="11">
        <f>IF(U34&gt;0,AB33*(1+Inputs!B15/12)+U34,AB33*(1+Inputs!B15/12))</f>
      </c>
      <c r="AC34" s="9">
        <f>IF(Inputs!B21&gt;0,AA34/Inputs!B21,0)</f>
      </c>
      <c r="AD34" s="11">
        <f>G34+T34</f>
      </c>
      <c r="AE34" s="11">
        <f>H34+W34</f>
      </c>
      <c r="AF34" s="11">
        <f>AD34+AE34</f>
      </c>
      <c r="AG34" s="13">
        <f>IF(M34&gt;0,V34/M34,0)</f>
      </c>
      <c r="AH34" s="11">
        <f>AH33+U34</f>
      </c>
      <c r="AI34" s="8">
        <f>IFERROR((1+IRR(VSTACK($AJ$8:INDEX($AJ:$AJ,ROW()-1),-U34+AA34)))^12-1,0)</f>
      </c>
      <c r="AJ34" s="11">
        <f>-U34</f>
      </c>
    </row>
    <row r="35">
      <c r="A35" s="13">
        <f>A34+1</f>
      </c>
      <c r="B35" t="inlineStr" s="10">
        <is>
          <t>Month 28</t>
        </is>
      </c>
      <c r="C35" s="11">
        <f>Z34</f>
      </c>
      <c r="D35" s="11">
        <f>AA34</f>
      </c>
      <c r="E35" s="11">
        <f>IF(A35&lt;=12,0,INDEX($V$8:$V$127,A35-12)*Inputs!B13*MAX(0,Inputs!B10-12)/12)</f>
      </c>
      <c r="F35" s="11">
        <f>IF(A35&lt;=Inputs!B10,0,INDEX($T$8:$T$127,A35-Inputs!B10))</f>
      </c>
      <c r="G35" s="11">
        <f>AD34-F35</f>
      </c>
      <c r="H35" s="11">
        <f>AE34-IF(A35&lt;=Inputs!B10,0,INDEX($W$8:$W$127,A35-Inputs!B10))</f>
      </c>
      <c r="I35" s="11">
        <f>H35*Inputs!B14/12</f>
      </c>
      <c r="J35" s="11">
        <f>C35+E35+F35-I35</f>
      </c>
      <c r="K35" s="11">
        <f>IF(Inputs!B19=1,MAX(0,Inputs!B5*1000000000-AH34),0)</f>
      </c>
      <c r="L35" s="11">
        <f>MAX(0,J35+K35)</f>
      </c>
      <c r="M35" s="11">
        <f>Inputs!B8*1000000</f>
      </c>
      <c r="N35" s="13">
        <f>Inputs!B9</f>
      </c>
      <c r="O35" s="13">
        <f>MAX(1,SQRT(L35/MAX(M35*MAX(N35,0.01)/(1+Inputs!B11),1)))</f>
      </c>
      <c r="P35" s="13">
        <f>MIN(1,A35/12)</f>
      </c>
      <c r="Q35" s="13">
        <f>IF(Inputs!B7=1,MAX(N35,L35*(1+Inputs!B11)/MAX(M35,1)),N35+(N35*O35-N35)*P35)</f>
      </c>
      <c r="R35" s="11">
        <f>IF(Inputs!B7=1,L35*(1+Inputs!B11),M35*Q35)</f>
      </c>
      <c r="S35" s="11">
        <f>R35/(1+Inputs!B11)</f>
      </c>
      <c r="T35" s="11">
        <f>IF(Inputs!B7=1,L35,MIN(S35,L35))</f>
      </c>
      <c r="U35" s="11">
        <f>IF(Inputs!B19=1,MAX(0,T35-J35),0)</f>
      </c>
      <c r="V35" s="11">
        <f>T35*(1+Inputs!B11)</f>
      </c>
      <c r="W35" s="11">
        <f>V35-T35</f>
      </c>
      <c r="X35" s="11">
        <f>V35*Inputs!B13*MIN(12,Inputs!B10)/12</f>
      </c>
      <c r="Y35" s="11">
        <f>W35*Inputs!B14/12</f>
      </c>
      <c r="Z35" s="11">
        <f>J35+U35-T35+X35-Y35</f>
      </c>
      <c r="AA35" s="11">
        <f>D35+E35-I35+U35+X35-Y35</f>
      </c>
      <c r="AB35" s="11">
        <f>IF(U35&gt;0,AB34*(1+Inputs!B15/12)+U35,AB34*(1+Inputs!B15/12))</f>
      </c>
      <c r="AC35" s="9">
        <f>IF(Inputs!B21&gt;0,AA35/Inputs!B21,0)</f>
      </c>
      <c r="AD35" s="11">
        <f>G35+T35</f>
      </c>
      <c r="AE35" s="11">
        <f>H35+W35</f>
      </c>
      <c r="AF35" s="11">
        <f>AD35+AE35</f>
      </c>
      <c r="AG35" s="13">
        <f>IF(M35&gt;0,V35/M35,0)</f>
      </c>
      <c r="AH35" s="11">
        <f>AH34+U35</f>
      </c>
      <c r="AI35" s="8">
        <f>IFERROR((1+IRR(VSTACK($AJ$8:INDEX($AJ:$AJ,ROW()-1),-U35+AA35)))^12-1,0)</f>
      </c>
      <c r="AJ35" s="11">
        <f>-U35</f>
      </c>
    </row>
    <row r="36">
      <c r="A36" s="13">
        <f>A35+1</f>
      </c>
      <c r="B36" t="inlineStr" s="10">
        <is>
          <t>Month 29</t>
        </is>
      </c>
      <c r="C36" s="11">
        <f>Z35</f>
      </c>
      <c r="D36" s="11">
        <f>AA35</f>
      </c>
      <c r="E36" s="11">
        <f>IF(A36&lt;=12,0,INDEX($V$8:$V$127,A36-12)*Inputs!B13*MAX(0,Inputs!B10-12)/12)</f>
      </c>
      <c r="F36" s="11">
        <f>IF(A36&lt;=Inputs!B10,0,INDEX($T$8:$T$127,A36-Inputs!B10))</f>
      </c>
      <c r="G36" s="11">
        <f>AD35-F36</f>
      </c>
      <c r="H36" s="11">
        <f>AE35-IF(A36&lt;=Inputs!B10,0,INDEX($W$8:$W$127,A36-Inputs!B10))</f>
      </c>
      <c r="I36" s="11">
        <f>H36*Inputs!B14/12</f>
      </c>
      <c r="J36" s="11">
        <f>C36+E36+F36-I36</f>
      </c>
      <c r="K36" s="11">
        <f>IF(Inputs!B19=1,MAX(0,Inputs!B5*1000000000-AH35),0)</f>
      </c>
      <c r="L36" s="11">
        <f>MAX(0,J36+K36)</f>
      </c>
      <c r="M36" s="11">
        <f>Inputs!B8*1000000</f>
      </c>
      <c r="N36" s="13">
        <f>Inputs!B9</f>
      </c>
      <c r="O36" s="13">
        <f>MAX(1,SQRT(L36/MAX(M36*MAX(N36,0.01)/(1+Inputs!B11),1)))</f>
      </c>
      <c r="P36" s="13">
        <f>MIN(1,A36/12)</f>
      </c>
      <c r="Q36" s="13">
        <f>IF(Inputs!B7=1,MAX(N36,L36*(1+Inputs!B11)/MAX(M36,1)),N36+(N36*O36-N36)*P36)</f>
      </c>
      <c r="R36" s="11">
        <f>IF(Inputs!B7=1,L36*(1+Inputs!B11),M36*Q36)</f>
      </c>
      <c r="S36" s="11">
        <f>R36/(1+Inputs!B11)</f>
      </c>
      <c r="T36" s="11">
        <f>IF(Inputs!B7=1,L36,MIN(S36,L36))</f>
      </c>
      <c r="U36" s="11">
        <f>IF(Inputs!B19=1,MAX(0,T36-J36),0)</f>
      </c>
      <c r="V36" s="11">
        <f>T36*(1+Inputs!B11)</f>
      </c>
      <c r="W36" s="11">
        <f>V36-T36</f>
      </c>
      <c r="X36" s="11">
        <f>V36*Inputs!B13*MIN(12,Inputs!B10)/12</f>
      </c>
      <c r="Y36" s="11">
        <f>W36*Inputs!B14/12</f>
      </c>
      <c r="Z36" s="11">
        <f>J36+U36-T36+X36-Y36</f>
      </c>
      <c r="AA36" s="11">
        <f>D36+E36-I36+U36+X36-Y36</f>
      </c>
      <c r="AB36" s="11">
        <f>IF(U36&gt;0,AB35*(1+Inputs!B15/12)+U36,AB35*(1+Inputs!B15/12))</f>
      </c>
      <c r="AC36" s="9">
        <f>IF(Inputs!B21&gt;0,AA36/Inputs!B21,0)</f>
      </c>
      <c r="AD36" s="11">
        <f>G36+T36</f>
      </c>
      <c r="AE36" s="11">
        <f>H36+W36</f>
      </c>
      <c r="AF36" s="11">
        <f>AD36+AE36</f>
      </c>
      <c r="AG36" s="13">
        <f>IF(M36&gt;0,V36/M36,0)</f>
      </c>
      <c r="AH36" s="11">
        <f>AH35+U36</f>
      </c>
      <c r="AI36" s="8">
        <f>IFERROR((1+IRR(VSTACK($AJ$8:INDEX($AJ:$AJ,ROW()-1),-U36+AA36)))^12-1,0)</f>
      </c>
      <c r="AJ36" s="11">
        <f>-U36</f>
      </c>
    </row>
    <row r="37">
      <c r="A37" s="13">
        <f>A36+1</f>
      </c>
      <c r="B37" t="inlineStr" s="10">
        <is>
          <t>Month 30</t>
        </is>
      </c>
      <c r="C37" s="11">
        <f>Z36</f>
      </c>
      <c r="D37" s="11">
        <f>AA36</f>
      </c>
      <c r="E37" s="11">
        <f>IF(A37&lt;=12,0,INDEX($V$8:$V$127,A37-12)*Inputs!B13*MAX(0,Inputs!B10-12)/12)</f>
      </c>
      <c r="F37" s="11">
        <f>IF(A37&lt;=Inputs!B10,0,INDEX($T$8:$T$127,A37-Inputs!B10))</f>
      </c>
      <c r="G37" s="11">
        <f>AD36-F37</f>
      </c>
      <c r="H37" s="11">
        <f>AE36-IF(A37&lt;=Inputs!B10,0,INDEX($W$8:$W$127,A37-Inputs!B10))</f>
      </c>
      <c r="I37" s="11">
        <f>H37*Inputs!B14/12</f>
      </c>
      <c r="J37" s="11">
        <f>C37+E37+F37-I37</f>
      </c>
      <c r="K37" s="11">
        <f>IF(Inputs!B19=1,MAX(0,Inputs!B5*1000000000-AH36),0)</f>
      </c>
      <c r="L37" s="11">
        <f>MAX(0,J37+K37)</f>
      </c>
      <c r="M37" s="11">
        <f>Inputs!B8*1000000</f>
      </c>
      <c r="N37" s="13">
        <f>Inputs!B9</f>
      </c>
      <c r="O37" s="13">
        <f>MAX(1,SQRT(L37/MAX(M37*MAX(N37,0.01)/(1+Inputs!B11),1)))</f>
      </c>
      <c r="P37" s="13">
        <f>MIN(1,A37/12)</f>
      </c>
      <c r="Q37" s="13">
        <f>IF(Inputs!B7=1,MAX(N37,L37*(1+Inputs!B11)/MAX(M37,1)),N37+(N37*O37-N37)*P37)</f>
      </c>
      <c r="R37" s="11">
        <f>IF(Inputs!B7=1,L37*(1+Inputs!B11),M37*Q37)</f>
      </c>
      <c r="S37" s="11">
        <f>R37/(1+Inputs!B11)</f>
      </c>
      <c r="T37" s="11">
        <f>IF(Inputs!B7=1,L37,MIN(S37,L37))</f>
      </c>
      <c r="U37" s="11">
        <f>IF(Inputs!B19=1,MAX(0,T37-J37),0)</f>
      </c>
      <c r="V37" s="11">
        <f>T37*(1+Inputs!B11)</f>
      </c>
      <c r="W37" s="11">
        <f>V37-T37</f>
      </c>
      <c r="X37" s="11">
        <f>V37*Inputs!B13*MIN(12,Inputs!B10)/12</f>
      </c>
      <c r="Y37" s="11">
        <f>W37*Inputs!B14/12</f>
      </c>
      <c r="Z37" s="11">
        <f>J37+U37-T37+X37-Y37</f>
      </c>
      <c r="AA37" s="11">
        <f>D37+E37-I37+U37+X37-Y37</f>
      </c>
      <c r="AB37" s="11">
        <f>IF(U37&gt;0,AB36*(1+Inputs!B15/12)+U37,AB36*(1+Inputs!B15/12))</f>
      </c>
      <c r="AC37" s="9">
        <f>IF(Inputs!B21&gt;0,AA37/Inputs!B21,0)</f>
      </c>
      <c r="AD37" s="11">
        <f>G37+T37</f>
      </c>
      <c r="AE37" s="11">
        <f>H37+W37</f>
      </c>
      <c r="AF37" s="11">
        <f>AD37+AE37</f>
      </c>
      <c r="AG37" s="13">
        <f>IF(M37&gt;0,V37/M37,0)</f>
      </c>
      <c r="AH37" s="11">
        <f>AH36+U37</f>
      </c>
      <c r="AI37" s="8">
        <f>IFERROR((1+IRR(VSTACK($AJ$8:INDEX($AJ:$AJ,ROW()-1),-U37+AA37)))^12-1,0)</f>
      </c>
      <c r="AJ37" s="11">
        <f>-U37</f>
      </c>
    </row>
    <row r="38">
      <c r="A38" s="13">
        <f>A37+1</f>
      </c>
      <c r="B38" t="inlineStr" s="10">
        <is>
          <t>Month 31</t>
        </is>
      </c>
      <c r="C38" s="11">
        <f>Z37</f>
      </c>
      <c r="D38" s="11">
        <f>AA37</f>
      </c>
      <c r="E38" s="11">
        <f>IF(A38&lt;=12,0,INDEX($V$8:$V$127,A38-12)*Inputs!B13*MAX(0,Inputs!B10-12)/12)</f>
      </c>
      <c r="F38" s="11">
        <f>IF(A38&lt;=Inputs!B10,0,INDEX($T$8:$T$127,A38-Inputs!B10))</f>
      </c>
      <c r="G38" s="11">
        <f>AD37-F38</f>
      </c>
      <c r="H38" s="11">
        <f>AE37-IF(A38&lt;=Inputs!B10,0,INDEX($W$8:$W$127,A38-Inputs!B10))</f>
      </c>
      <c r="I38" s="11">
        <f>H38*Inputs!B14/12</f>
      </c>
      <c r="J38" s="11">
        <f>C38+E38+F38-I38</f>
      </c>
      <c r="K38" s="11">
        <f>IF(Inputs!B19=1,MAX(0,Inputs!B5*1000000000-AH37),0)</f>
      </c>
      <c r="L38" s="11">
        <f>MAX(0,J38+K38)</f>
      </c>
      <c r="M38" s="11">
        <f>Inputs!B8*1000000</f>
      </c>
      <c r="N38" s="13">
        <f>Inputs!B9</f>
      </c>
      <c r="O38" s="13">
        <f>MAX(1,SQRT(L38/MAX(M38*MAX(N38,0.01)/(1+Inputs!B11),1)))</f>
      </c>
      <c r="P38" s="13">
        <f>MIN(1,A38/12)</f>
      </c>
      <c r="Q38" s="13">
        <f>IF(Inputs!B7=1,MAX(N38,L38*(1+Inputs!B11)/MAX(M38,1)),N38+(N38*O38-N38)*P38)</f>
      </c>
      <c r="R38" s="11">
        <f>IF(Inputs!B7=1,L38*(1+Inputs!B11),M38*Q38)</f>
      </c>
      <c r="S38" s="11">
        <f>R38/(1+Inputs!B11)</f>
      </c>
      <c r="T38" s="11">
        <f>IF(Inputs!B7=1,L38,MIN(S38,L38))</f>
      </c>
      <c r="U38" s="11">
        <f>IF(Inputs!B19=1,MAX(0,T38-J38),0)</f>
      </c>
      <c r="V38" s="11">
        <f>T38*(1+Inputs!B11)</f>
      </c>
      <c r="W38" s="11">
        <f>V38-T38</f>
      </c>
      <c r="X38" s="11">
        <f>V38*Inputs!B13*MIN(12,Inputs!B10)/12</f>
      </c>
      <c r="Y38" s="11">
        <f>W38*Inputs!B14/12</f>
      </c>
      <c r="Z38" s="11">
        <f>J38+U38-T38+X38-Y38</f>
      </c>
      <c r="AA38" s="11">
        <f>D38+E38-I38+U38+X38-Y38</f>
      </c>
      <c r="AB38" s="11">
        <f>IF(U38&gt;0,AB37*(1+Inputs!B15/12)+U38,AB37*(1+Inputs!B15/12))</f>
      </c>
      <c r="AC38" s="9">
        <f>IF(Inputs!B21&gt;0,AA38/Inputs!B21,0)</f>
      </c>
      <c r="AD38" s="11">
        <f>G38+T38</f>
      </c>
      <c r="AE38" s="11">
        <f>H38+W38</f>
      </c>
      <c r="AF38" s="11">
        <f>AD38+AE38</f>
      </c>
      <c r="AG38" s="13">
        <f>IF(M38&gt;0,V38/M38,0)</f>
      </c>
      <c r="AH38" s="11">
        <f>AH37+U38</f>
      </c>
      <c r="AI38" s="8">
        <f>IFERROR((1+IRR(VSTACK($AJ$8:INDEX($AJ:$AJ,ROW()-1),-U38+AA38)))^12-1,0)</f>
      </c>
      <c r="AJ38" s="11">
        <f>-U38</f>
      </c>
    </row>
    <row r="39">
      <c r="A39" s="13">
        <f>A38+1</f>
      </c>
      <c r="B39" t="inlineStr" s="10">
        <is>
          <t>Month 32</t>
        </is>
      </c>
      <c r="C39" s="11">
        <f>Z38</f>
      </c>
      <c r="D39" s="11">
        <f>AA38</f>
      </c>
      <c r="E39" s="11">
        <f>IF(A39&lt;=12,0,INDEX($V$8:$V$127,A39-12)*Inputs!B13*MAX(0,Inputs!B10-12)/12)</f>
      </c>
      <c r="F39" s="11">
        <f>IF(A39&lt;=Inputs!B10,0,INDEX($T$8:$T$127,A39-Inputs!B10))</f>
      </c>
      <c r="G39" s="11">
        <f>AD38-F39</f>
      </c>
      <c r="H39" s="11">
        <f>AE38-IF(A39&lt;=Inputs!B10,0,INDEX($W$8:$W$127,A39-Inputs!B10))</f>
      </c>
      <c r="I39" s="11">
        <f>H39*Inputs!B14/12</f>
      </c>
      <c r="J39" s="11">
        <f>C39+E39+F39-I39</f>
      </c>
      <c r="K39" s="11">
        <f>IF(Inputs!B19=1,MAX(0,Inputs!B5*1000000000-AH38),0)</f>
      </c>
      <c r="L39" s="11">
        <f>MAX(0,J39+K39)</f>
      </c>
      <c r="M39" s="11">
        <f>Inputs!B8*1000000</f>
      </c>
      <c r="N39" s="13">
        <f>Inputs!B9</f>
      </c>
      <c r="O39" s="13">
        <f>MAX(1,SQRT(L39/MAX(M39*MAX(N39,0.01)/(1+Inputs!B11),1)))</f>
      </c>
      <c r="P39" s="13">
        <f>MIN(1,A39/12)</f>
      </c>
      <c r="Q39" s="13">
        <f>IF(Inputs!B7=1,MAX(N39,L39*(1+Inputs!B11)/MAX(M39,1)),N39+(N39*O39-N39)*P39)</f>
      </c>
      <c r="R39" s="11">
        <f>IF(Inputs!B7=1,L39*(1+Inputs!B11),M39*Q39)</f>
      </c>
      <c r="S39" s="11">
        <f>R39/(1+Inputs!B11)</f>
      </c>
      <c r="T39" s="11">
        <f>IF(Inputs!B7=1,L39,MIN(S39,L39))</f>
      </c>
      <c r="U39" s="11">
        <f>IF(Inputs!B19=1,MAX(0,T39-J39),0)</f>
      </c>
      <c r="V39" s="11">
        <f>T39*(1+Inputs!B11)</f>
      </c>
      <c r="W39" s="11">
        <f>V39-T39</f>
      </c>
      <c r="X39" s="11">
        <f>V39*Inputs!B13*MIN(12,Inputs!B10)/12</f>
      </c>
      <c r="Y39" s="11">
        <f>W39*Inputs!B14/12</f>
      </c>
      <c r="Z39" s="11">
        <f>J39+U39-T39+X39-Y39</f>
      </c>
      <c r="AA39" s="11">
        <f>D39+E39-I39+U39+X39-Y39</f>
      </c>
      <c r="AB39" s="11">
        <f>IF(U39&gt;0,AB38*(1+Inputs!B15/12)+U39,AB38*(1+Inputs!B15/12))</f>
      </c>
      <c r="AC39" s="9">
        <f>IF(Inputs!B21&gt;0,AA39/Inputs!B21,0)</f>
      </c>
      <c r="AD39" s="11">
        <f>G39+T39</f>
      </c>
      <c r="AE39" s="11">
        <f>H39+W39</f>
      </c>
      <c r="AF39" s="11">
        <f>AD39+AE39</f>
      </c>
      <c r="AG39" s="13">
        <f>IF(M39&gt;0,V39/M39,0)</f>
      </c>
      <c r="AH39" s="11">
        <f>AH38+U39</f>
      </c>
      <c r="AI39" s="8">
        <f>IFERROR((1+IRR(VSTACK($AJ$8:INDEX($AJ:$AJ,ROW()-1),-U39+AA39)))^12-1,0)</f>
      </c>
      <c r="AJ39" s="11">
        <f>-U39</f>
      </c>
    </row>
    <row r="40">
      <c r="A40" s="13">
        <f>A39+1</f>
      </c>
      <c r="B40" t="inlineStr" s="10">
        <is>
          <t>Month 33</t>
        </is>
      </c>
      <c r="C40" s="11">
        <f>Z39</f>
      </c>
      <c r="D40" s="11">
        <f>AA39</f>
      </c>
      <c r="E40" s="11">
        <f>IF(A40&lt;=12,0,INDEX($V$8:$V$127,A40-12)*Inputs!B13*MAX(0,Inputs!B10-12)/12)</f>
      </c>
      <c r="F40" s="11">
        <f>IF(A40&lt;=Inputs!B10,0,INDEX($T$8:$T$127,A40-Inputs!B10))</f>
      </c>
      <c r="G40" s="11">
        <f>AD39-F40</f>
      </c>
      <c r="H40" s="11">
        <f>AE39-IF(A40&lt;=Inputs!B10,0,INDEX($W$8:$W$127,A40-Inputs!B10))</f>
      </c>
      <c r="I40" s="11">
        <f>H40*Inputs!B14/12</f>
      </c>
      <c r="J40" s="11">
        <f>C40+E40+F40-I40</f>
      </c>
      <c r="K40" s="11">
        <f>IF(Inputs!B19=1,MAX(0,Inputs!B5*1000000000-AH39),0)</f>
      </c>
      <c r="L40" s="11">
        <f>MAX(0,J40+K40)</f>
      </c>
      <c r="M40" s="11">
        <f>Inputs!B8*1000000</f>
      </c>
      <c r="N40" s="13">
        <f>Inputs!B9</f>
      </c>
      <c r="O40" s="13">
        <f>MAX(1,SQRT(L40/MAX(M40*MAX(N40,0.01)/(1+Inputs!B11),1)))</f>
      </c>
      <c r="P40" s="13">
        <f>MIN(1,A40/12)</f>
      </c>
      <c r="Q40" s="13">
        <f>IF(Inputs!B7=1,MAX(N40,L40*(1+Inputs!B11)/MAX(M40,1)),N40+(N40*O40-N40)*P40)</f>
      </c>
      <c r="R40" s="11">
        <f>IF(Inputs!B7=1,L40*(1+Inputs!B11),M40*Q40)</f>
      </c>
      <c r="S40" s="11">
        <f>R40/(1+Inputs!B11)</f>
      </c>
      <c r="T40" s="11">
        <f>IF(Inputs!B7=1,L40,MIN(S40,L40))</f>
      </c>
      <c r="U40" s="11">
        <f>IF(Inputs!B19=1,MAX(0,T40-J40),0)</f>
      </c>
      <c r="V40" s="11">
        <f>T40*(1+Inputs!B11)</f>
      </c>
      <c r="W40" s="11">
        <f>V40-T40</f>
      </c>
      <c r="X40" s="11">
        <f>V40*Inputs!B13*MIN(12,Inputs!B10)/12</f>
      </c>
      <c r="Y40" s="11">
        <f>W40*Inputs!B14/12</f>
      </c>
      <c r="Z40" s="11">
        <f>J40+U40-T40+X40-Y40</f>
      </c>
      <c r="AA40" s="11">
        <f>D40+E40-I40+U40+X40-Y40</f>
      </c>
      <c r="AB40" s="11">
        <f>IF(U40&gt;0,AB39*(1+Inputs!B15/12)+U40,AB39*(1+Inputs!B15/12))</f>
      </c>
      <c r="AC40" s="9">
        <f>IF(Inputs!B21&gt;0,AA40/Inputs!B21,0)</f>
      </c>
      <c r="AD40" s="11">
        <f>G40+T40</f>
      </c>
      <c r="AE40" s="11">
        <f>H40+W40</f>
      </c>
      <c r="AF40" s="11">
        <f>AD40+AE40</f>
      </c>
      <c r="AG40" s="13">
        <f>IF(M40&gt;0,V40/M40,0)</f>
      </c>
      <c r="AH40" s="11">
        <f>AH39+U40</f>
      </c>
      <c r="AI40" s="8">
        <f>IFERROR((1+IRR(VSTACK($AJ$8:INDEX($AJ:$AJ,ROW()-1),-U40+AA40)))^12-1,0)</f>
      </c>
      <c r="AJ40" s="11">
        <f>-U40</f>
      </c>
    </row>
    <row r="41">
      <c r="A41" s="13">
        <f>A40+1</f>
      </c>
      <c r="B41" t="inlineStr" s="10">
        <is>
          <t>Month 34</t>
        </is>
      </c>
      <c r="C41" s="11">
        <f>Z40</f>
      </c>
      <c r="D41" s="11">
        <f>AA40</f>
      </c>
      <c r="E41" s="11">
        <f>IF(A41&lt;=12,0,INDEX($V$8:$V$127,A41-12)*Inputs!B13*MAX(0,Inputs!B10-12)/12)</f>
      </c>
      <c r="F41" s="11">
        <f>IF(A41&lt;=Inputs!B10,0,INDEX($T$8:$T$127,A41-Inputs!B10))</f>
      </c>
      <c r="G41" s="11">
        <f>AD40-F41</f>
      </c>
      <c r="H41" s="11">
        <f>AE40-IF(A41&lt;=Inputs!B10,0,INDEX($W$8:$W$127,A41-Inputs!B10))</f>
      </c>
      <c r="I41" s="11">
        <f>H41*Inputs!B14/12</f>
      </c>
      <c r="J41" s="11">
        <f>C41+E41+F41-I41</f>
      </c>
      <c r="K41" s="11">
        <f>IF(Inputs!B19=1,MAX(0,Inputs!B5*1000000000-AH40),0)</f>
      </c>
      <c r="L41" s="11">
        <f>MAX(0,J41+K41)</f>
      </c>
      <c r="M41" s="11">
        <f>Inputs!B8*1000000</f>
      </c>
      <c r="N41" s="13">
        <f>Inputs!B9</f>
      </c>
      <c r="O41" s="13">
        <f>MAX(1,SQRT(L41/MAX(M41*MAX(N41,0.01)/(1+Inputs!B11),1)))</f>
      </c>
      <c r="P41" s="13">
        <f>MIN(1,A41/12)</f>
      </c>
      <c r="Q41" s="13">
        <f>IF(Inputs!B7=1,MAX(N41,L41*(1+Inputs!B11)/MAX(M41,1)),N41+(N41*O41-N41)*P41)</f>
      </c>
      <c r="R41" s="11">
        <f>IF(Inputs!B7=1,L41*(1+Inputs!B11),M41*Q41)</f>
      </c>
      <c r="S41" s="11">
        <f>R41/(1+Inputs!B11)</f>
      </c>
      <c r="T41" s="11">
        <f>IF(Inputs!B7=1,L41,MIN(S41,L41))</f>
      </c>
      <c r="U41" s="11">
        <f>IF(Inputs!B19=1,MAX(0,T41-J41),0)</f>
      </c>
      <c r="V41" s="11">
        <f>T41*(1+Inputs!B11)</f>
      </c>
      <c r="W41" s="11">
        <f>V41-T41</f>
      </c>
      <c r="X41" s="11">
        <f>V41*Inputs!B13*MIN(12,Inputs!B10)/12</f>
      </c>
      <c r="Y41" s="11">
        <f>W41*Inputs!B14/12</f>
      </c>
      <c r="Z41" s="11">
        <f>J41+U41-T41+X41-Y41</f>
      </c>
      <c r="AA41" s="11">
        <f>D41+E41-I41+U41+X41-Y41</f>
      </c>
      <c r="AB41" s="11">
        <f>IF(U41&gt;0,AB40*(1+Inputs!B15/12)+U41,AB40*(1+Inputs!B15/12))</f>
      </c>
      <c r="AC41" s="9">
        <f>IF(Inputs!B21&gt;0,AA41/Inputs!B21,0)</f>
      </c>
      <c r="AD41" s="11">
        <f>G41+T41</f>
      </c>
      <c r="AE41" s="11">
        <f>H41+W41</f>
      </c>
      <c r="AF41" s="11">
        <f>AD41+AE41</f>
      </c>
      <c r="AG41" s="13">
        <f>IF(M41&gt;0,V41/M41,0)</f>
      </c>
      <c r="AH41" s="11">
        <f>AH40+U41</f>
      </c>
      <c r="AI41" s="8">
        <f>IFERROR((1+IRR(VSTACK($AJ$8:INDEX($AJ:$AJ,ROW()-1),-U41+AA41)))^12-1,0)</f>
      </c>
      <c r="AJ41" s="11">
        <f>-U41</f>
      </c>
    </row>
    <row r="42">
      <c r="A42" s="13">
        <f>A41+1</f>
      </c>
      <c r="B42" t="inlineStr" s="10">
        <is>
          <t>Month 35</t>
        </is>
      </c>
      <c r="C42" s="11">
        <f>Z41</f>
      </c>
      <c r="D42" s="11">
        <f>AA41</f>
      </c>
      <c r="E42" s="11">
        <f>IF(A42&lt;=12,0,INDEX($V$8:$V$127,A42-12)*Inputs!B13*MAX(0,Inputs!B10-12)/12)</f>
      </c>
      <c r="F42" s="11">
        <f>IF(A42&lt;=Inputs!B10,0,INDEX($T$8:$T$127,A42-Inputs!B10))</f>
      </c>
      <c r="G42" s="11">
        <f>AD41-F42</f>
      </c>
      <c r="H42" s="11">
        <f>AE41-IF(A42&lt;=Inputs!B10,0,INDEX($W$8:$W$127,A42-Inputs!B10))</f>
      </c>
      <c r="I42" s="11">
        <f>H42*Inputs!B14/12</f>
      </c>
      <c r="J42" s="11">
        <f>C42+E42+F42-I42</f>
      </c>
      <c r="K42" s="11">
        <f>IF(Inputs!B19=1,MAX(0,Inputs!B5*1000000000-AH41),0)</f>
      </c>
      <c r="L42" s="11">
        <f>MAX(0,J42+K42)</f>
      </c>
      <c r="M42" s="11">
        <f>Inputs!B8*1000000</f>
      </c>
      <c r="N42" s="13">
        <f>Inputs!B9</f>
      </c>
      <c r="O42" s="13">
        <f>MAX(1,SQRT(L42/MAX(M42*MAX(N42,0.01)/(1+Inputs!B11),1)))</f>
      </c>
      <c r="P42" s="13">
        <f>MIN(1,A42/12)</f>
      </c>
      <c r="Q42" s="13">
        <f>IF(Inputs!B7=1,MAX(N42,L42*(1+Inputs!B11)/MAX(M42,1)),N42+(N42*O42-N42)*P42)</f>
      </c>
      <c r="R42" s="11">
        <f>IF(Inputs!B7=1,L42*(1+Inputs!B11),M42*Q42)</f>
      </c>
      <c r="S42" s="11">
        <f>R42/(1+Inputs!B11)</f>
      </c>
      <c r="T42" s="11">
        <f>IF(Inputs!B7=1,L42,MIN(S42,L42))</f>
      </c>
      <c r="U42" s="11">
        <f>IF(Inputs!B19=1,MAX(0,T42-J42),0)</f>
      </c>
      <c r="V42" s="11">
        <f>T42*(1+Inputs!B11)</f>
      </c>
      <c r="W42" s="11">
        <f>V42-T42</f>
      </c>
      <c r="X42" s="11">
        <f>V42*Inputs!B13*MIN(12,Inputs!B10)/12</f>
      </c>
      <c r="Y42" s="11">
        <f>W42*Inputs!B14/12</f>
      </c>
      <c r="Z42" s="11">
        <f>J42+U42-T42+X42-Y42</f>
      </c>
      <c r="AA42" s="11">
        <f>D42+E42-I42+U42+X42-Y42</f>
      </c>
      <c r="AB42" s="11">
        <f>IF(U42&gt;0,AB41*(1+Inputs!B15/12)+U42,AB41*(1+Inputs!B15/12))</f>
      </c>
      <c r="AC42" s="9">
        <f>IF(Inputs!B21&gt;0,AA42/Inputs!B21,0)</f>
      </c>
      <c r="AD42" s="11">
        <f>G42+T42</f>
      </c>
      <c r="AE42" s="11">
        <f>H42+W42</f>
      </c>
      <c r="AF42" s="11">
        <f>AD42+AE42</f>
      </c>
      <c r="AG42" s="13">
        <f>IF(M42&gt;0,V42/M42,0)</f>
      </c>
      <c r="AH42" s="11">
        <f>AH41+U42</f>
      </c>
      <c r="AI42" s="8">
        <f>IFERROR((1+IRR(VSTACK($AJ$8:INDEX($AJ:$AJ,ROW()-1),-U42+AA42)))^12-1,0)</f>
      </c>
      <c r="AJ42" s="11">
        <f>-U42</f>
      </c>
    </row>
    <row r="43">
      <c r="A43" s="13">
        <f>A42+1</f>
      </c>
      <c r="B43" t="inlineStr" s="10">
        <is>
          <t>Month 36</t>
        </is>
      </c>
      <c r="C43" s="11">
        <f>Z42</f>
      </c>
      <c r="D43" s="11">
        <f>AA42</f>
      </c>
      <c r="E43" s="11">
        <f>IF(A43&lt;=12,0,INDEX($V$8:$V$127,A43-12)*Inputs!B13*MAX(0,Inputs!B10-12)/12)</f>
      </c>
      <c r="F43" s="11">
        <f>IF(A43&lt;=Inputs!B10,0,INDEX($T$8:$T$127,A43-Inputs!B10))</f>
      </c>
      <c r="G43" s="11">
        <f>AD42-F43</f>
      </c>
      <c r="H43" s="11">
        <f>AE42-IF(A43&lt;=Inputs!B10,0,INDEX($W$8:$W$127,A43-Inputs!B10))</f>
      </c>
      <c r="I43" s="11">
        <f>H43*Inputs!B14/12</f>
      </c>
      <c r="J43" s="11">
        <f>C43+E43+F43-I43</f>
      </c>
      <c r="K43" s="11">
        <f>IF(Inputs!B19=1,MAX(0,Inputs!B5*1000000000-AH42),0)</f>
      </c>
      <c r="L43" s="11">
        <f>MAX(0,J43+K43)</f>
      </c>
      <c r="M43" s="11">
        <f>Inputs!B8*1000000</f>
      </c>
      <c r="N43" s="13">
        <f>Inputs!B9</f>
      </c>
      <c r="O43" s="13">
        <f>MAX(1,SQRT(L43/MAX(M43*MAX(N43,0.01)/(1+Inputs!B11),1)))</f>
      </c>
      <c r="P43" s="13">
        <f>MIN(1,A43/12)</f>
      </c>
      <c r="Q43" s="13">
        <f>IF(Inputs!B7=1,MAX(N43,L43*(1+Inputs!B11)/MAX(M43,1)),N43+(N43*O43-N43)*P43)</f>
      </c>
      <c r="R43" s="11">
        <f>IF(Inputs!B7=1,L43*(1+Inputs!B11),M43*Q43)</f>
      </c>
      <c r="S43" s="11">
        <f>R43/(1+Inputs!B11)</f>
      </c>
      <c r="T43" s="11">
        <f>IF(Inputs!B7=1,L43,MIN(S43,L43))</f>
      </c>
      <c r="U43" s="11">
        <f>IF(Inputs!B19=1,MAX(0,T43-J43),0)</f>
      </c>
      <c r="V43" s="11">
        <f>T43*(1+Inputs!B11)</f>
      </c>
      <c r="W43" s="11">
        <f>V43-T43</f>
      </c>
      <c r="X43" s="11">
        <f>V43*Inputs!B13*MIN(12,Inputs!B10)/12</f>
      </c>
      <c r="Y43" s="11">
        <f>W43*Inputs!B14/12</f>
      </c>
      <c r="Z43" s="11">
        <f>J43+U43-T43+X43-Y43</f>
      </c>
      <c r="AA43" s="11">
        <f>D43+E43-I43+U43+X43-Y43</f>
      </c>
      <c r="AB43" s="11">
        <f>IF(U43&gt;0,AB42*(1+Inputs!B15/12)+U43,AB42*(1+Inputs!B15/12))</f>
      </c>
      <c r="AC43" s="9">
        <f>IF(Inputs!B21&gt;0,AA43/Inputs!B21,0)</f>
      </c>
      <c r="AD43" s="11">
        <f>G43+T43</f>
      </c>
      <c r="AE43" s="11">
        <f>H43+W43</f>
      </c>
      <c r="AF43" s="11">
        <f>AD43+AE43</f>
      </c>
      <c r="AG43" s="13">
        <f>IF(M43&gt;0,V43/M43,0)</f>
      </c>
      <c r="AH43" s="11">
        <f>AH42+U43</f>
      </c>
      <c r="AI43" s="8">
        <f>IFERROR((1+IRR(VSTACK($AJ$8:INDEX($AJ:$AJ,ROW()-1),-U43+AA43)))^12-1,0)</f>
      </c>
      <c r="AJ43" s="11">
        <f>-U43</f>
      </c>
    </row>
    <row r="44">
      <c r="A44" s="13">
        <f>A43+1</f>
      </c>
      <c r="B44" t="inlineStr" s="10">
        <is>
          <t>Month 37</t>
        </is>
      </c>
      <c r="C44" s="11">
        <f>Z43</f>
      </c>
      <c r="D44" s="11">
        <f>AA43</f>
      </c>
      <c r="E44" s="11">
        <f>IF(A44&lt;=12,0,INDEX($V$8:$V$127,A44-12)*Inputs!B13*MAX(0,Inputs!B10-12)/12)</f>
      </c>
      <c r="F44" s="11">
        <f>IF(A44&lt;=Inputs!B10,0,INDEX($T$8:$T$127,A44-Inputs!B10))</f>
      </c>
      <c r="G44" s="11">
        <f>AD43-F44</f>
      </c>
      <c r="H44" s="11">
        <f>AE43-IF(A44&lt;=Inputs!B10,0,INDEX($W$8:$W$127,A44-Inputs!B10))</f>
      </c>
      <c r="I44" s="11">
        <f>H44*Inputs!B14/12</f>
      </c>
      <c r="J44" s="11">
        <f>C44+E44+F44-I44</f>
      </c>
      <c r="K44" s="11">
        <f>IF(Inputs!B19=1,MAX(0,Inputs!B5*1000000000-AH43),0)</f>
      </c>
      <c r="L44" s="11">
        <f>MAX(0,J44+K44)</f>
      </c>
      <c r="M44" s="11">
        <f>Inputs!B8*1000000</f>
      </c>
      <c r="N44" s="13">
        <f>Inputs!B9</f>
      </c>
      <c r="O44" s="13">
        <f>MAX(1,SQRT(L44/MAX(M44*MAX(N44,0.01)/(1+Inputs!B11),1)))</f>
      </c>
      <c r="P44" s="13">
        <f>MIN(1,A44/12)</f>
      </c>
      <c r="Q44" s="13">
        <f>IF(Inputs!B7=1,MAX(N44,L44*(1+Inputs!B11)/MAX(M44,1)),N44+(N44*O44-N44)*P44)</f>
      </c>
      <c r="R44" s="11">
        <f>IF(Inputs!B7=1,L44*(1+Inputs!B11),M44*Q44)</f>
      </c>
      <c r="S44" s="11">
        <f>R44/(1+Inputs!B11)</f>
      </c>
      <c r="T44" s="11">
        <f>IF(Inputs!B7=1,L44,MIN(S44,L44))</f>
      </c>
      <c r="U44" s="11">
        <f>IF(Inputs!B19=1,MAX(0,T44-J44),0)</f>
      </c>
      <c r="V44" s="11">
        <f>T44*(1+Inputs!B11)</f>
      </c>
      <c r="W44" s="11">
        <f>V44-T44</f>
      </c>
      <c r="X44" s="11">
        <f>V44*Inputs!B13*MIN(12,Inputs!B10)/12</f>
      </c>
      <c r="Y44" s="11">
        <f>W44*Inputs!B14/12</f>
      </c>
      <c r="Z44" s="11">
        <f>J44+U44-T44+X44-Y44</f>
      </c>
      <c r="AA44" s="11">
        <f>D44+E44-I44+U44+X44-Y44</f>
      </c>
      <c r="AB44" s="11">
        <f>IF(U44&gt;0,AB43*(1+Inputs!B15/12)+U44,AB43*(1+Inputs!B15/12))</f>
      </c>
      <c r="AC44" s="9">
        <f>IF(Inputs!B21&gt;0,AA44/Inputs!B21,0)</f>
      </c>
      <c r="AD44" s="11">
        <f>G44+T44</f>
      </c>
      <c r="AE44" s="11">
        <f>H44+W44</f>
      </c>
      <c r="AF44" s="11">
        <f>AD44+AE44</f>
      </c>
      <c r="AG44" s="13">
        <f>IF(M44&gt;0,V44/M44,0)</f>
      </c>
      <c r="AH44" s="11">
        <f>AH43+U44</f>
      </c>
      <c r="AI44" s="8">
        <f>IFERROR((1+IRR(VSTACK($AJ$8:INDEX($AJ:$AJ,ROW()-1),-U44+AA44)))^12-1,0)</f>
      </c>
      <c r="AJ44" s="11">
        <f>-U44</f>
      </c>
    </row>
    <row r="45">
      <c r="A45" s="13">
        <f>A44+1</f>
      </c>
      <c r="B45" t="inlineStr" s="10">
        <is>
          <t>Month 38</t>
        </is>
      </c>
      <c r="C45" s="11">
        <f>Z44</f>
      </c>
      <c r="D45" s="11">
        <f>AA44</f>
      </c>
      <c r="E45" s="11">
        <f>IF(A45&lt;=12,0,INDEX($V$8:$V$127,A45-12)*Inputs!B13*MAX(0,Inputs!B10-12)/12)</f>
      </c>
      <c r="F45" s="11">
        <f>IF(A45&lt;=Inputs!B10,0,INDEX($T$8:$T$127,A45-Inputs!B10))</f>
      </c>
      <c r="G45" s="11">
        <f>AD44-F45</f>
      </c>
      <c r="H45" s="11">
        <f>AE44-IF(A45&lt;=Inputs!B10,0,INDEX($W$8:$W$127,A45-Inputs!B10))</f>
      </c>
      <c r="I45" s="11">
        <f>H45*Inputs!B14/12</f>
      </c>
      <c r="J45" s="11">
        <f>C45+E45+F45-I45</f>
      </c>
      <c r="K45" s="11">
        <f>IF(Inputs!B19=1,MAX(0,Inputs!B5*1000000000-AH44),0)</f>
      </c>
      <c r="L45" s="11">
        <f>MAX(0,J45+K45)</f>
      </c>
      <c r="M45" s="11">
        <f>Inputs!B8*1000000</f>
      </c>
      <c r="N45" s="13">
        <f>Inputs!B9</f>
      </c>
      <c r="O45" s="13">
        <f>MAX(1,SQRT(L45/MAX(M45*MAX(N45,0.01)/(1+Inputs!B11),1)))</f>
      </c>
      <c r="P45" s="13">
        <f>MIN(1,A45/12)</f>
      </c>
      <c r="Q45" s="13">
        <f>IF(Inputs!B7=1,MAX(N45,L45*(1+Inputs!B11)/MAX(M45,1)),N45+(N45*O45-N45)*P45)</f>
      </c>
      <c r="R45" s="11">
        <f>IF(Inputs!B7=1,L45*(1+Inputs!B11),M45*Q45)</f>
      </c>
      <c r="S45" s="11">
        <f>R45/(1+Inputs!B11)</f>
      </c>
      <c r="T45" s="11">
        <f>IF(Inputs!B7=1,L45,MIN(S45,L45))</f>
      </c>
      <c r="U45" s="11">
        <f>IF(Inputs!B19=1,MAX(0,T45-J45),0)</f>
      </c>
      <c r="V45" s="11">
        <f>T45*(1+Inputs!B11)</f>
      </c>
      <c r="W45" s="11">
        <f>V45-T45</f>
      </c>
      <c r="X45" s="11">
        <f>V45*Inputs!B13*MIN(12,Inputs!B10)/12</f>
      </c>
      <c r="Y45" s="11">
        <f>W45*Inputs!B14/12</f>
      </c>
      <c r="Z45" s="11">
        <f>J45+U45-T45+X45-Y45</f>
      </c>
      <c r="AA45" s="11">
        <f>D45+E45-I45+U45+X45-Y45</f>
      </c>
      <c r="AB45" s="11">
        <f>IF(U45&gt;0,AB44*(1+Inputs!B15/12)+U45,AB44*(1+Inputs!B15/12))</f>
      </c>
      <c r="AC45" s="9">
        <f>IF(Inputs!B21&gt;0,AA45/Inputs!B21,0)</f>
      </c>
      <c r="AD45" s="11">
        <f>G45+T45</f>
      </c>
      <c r="AE45" s="11">
        <f>H45+W45</f>
      </c>
      <c r="AF45" s="11">
        <f>AD45+AE45</f>
      </c>
      <c r="AG45" s="13">
        <f>IF(M45&gt;0,V45/M45,0)</f>
      </c>
      <c r="AH45" s="11">
        <f>AH44+U45</f>
      </c>
      <c r="AI45" s="8">
        <f>IFERROR((1+IRR(VSTACK($AJ$8:INDEX($AJ:$AJ,ROW()-1),-U45+AA45)))^12-1,0)</f>
      </c>
      <c r="AJ45" s="11">
        <f>-U45</f>
      </c>
    </row>
    <row r="46">
      <c r="A46" s="13">
        <f>A45+1</f>
      </c>
      <c r="B46" t="inlineStr" s="10">
        <is>
          <t>Month 39</t>
        </is>
      </c>
      <c r="C46" s="11">
        <f>Z45</f>
      </c>
      <c r="D46" s="11">
        <f>AA45</f>
      </c>
      <c r="E46" s="11">
        <f>IF(A46&lt;=12,0,INDEX($V$8:$V$127,A46-12)*Inputs!B13*MAX(0,Inputs!B10-12)/12)</f>
      </c>
      <c r="F46" s="11">
        <f>IF(A46&lt;=Inputs!B10,0,INDEX($T$8:$T$127,A46-Inputs!B10))</f>
      </c>
      <c r="G46" s="11">
        <f>AD45-F46</f>
      </c>
      <c r="H46" s="11">
        <f>AE45-IF(A46&lt;=Inputs!B10,0,INDEX($W$8:$W$127,A46-Inputs!B10))</f>
      </c>
      <c r="I46" s="11">
        <f>H46*Inputs!B14/12</f>
      </c>
      <c r="J46" s="11">
        <f>C46+E46+F46-I46</f>
      </c>
      <c r="K46" s="11">
        <f>IF(Inputs!B19=1,MAX(0,Inputs!B5*1000000000-AH45),0)</f>
      </c>
      <c r="L46" s="11">
        <f>MAX(0,J46+K46)</f>
      </c>
      <c r="M46" s="11">
        <f>Inputs!B8*1000000</f>
      </c>
      <c r="N46" s="13">
        <f>Inputs!B9</f>
      </c>
      <c r="O46" s="13">
        <f>MAX(1,SQRT(L46/MAX(M46*MAX(N46,0.01)/(1+Inputs!B11),1)))</f>
      </c>
      <c r="P46" s="13">
        <f>MIN(1,A46/12)</f>
      </c>
      <c r="Q46" s="13">
        <f>IF(Inputs!B7=1,MAX(N46,L46*(1+Inputs!B11)/MAX(M46,1)),N46+(N46*O46-N46)*P46)</f>
      </c>
      <c r="R46" s="11">
        <f>IF(Inputs!B7=1,L46*(1+Inputs!B11),M46*Q46)</f>
      </c>
      <c r="S46" s="11">
        <f>R46/(1+Inputs!B11)</f>
      </c>
      <c r="T46" s="11">
        <f>IF(Inputs!B7=1,L46,MIN(S46,L46))</f>
      </c>
      <c r="U46" s="11">
        <f>IF(Inputs!B19=1,MAX(0,T46-J46),0)</f>
      </c>
      <c r="V46" s="11">
        <f>T46*(1+Inputs!B11)</f>
      </c>
      <c r="W46" s="11">
        <f>V46-T46</f>
      </c>
      <c r="X46" s="11">
        <f>V46*Inputs!B13*MIN(12,Inputs!B10)/12</f>
      </c>
      <c r="Y46" s="11">
        <f>W46*Inputs!B14/12</f>
      </c>
      <c r="Z46" s="11">
        <f>J46+U46-T46+X46-Y46</f>
      </c>
      <c r="AA46" s="11">
        <f>D46+E46-I46+U46+X46-Y46</f>
      </c>
      <c r="AB46" s="11">
        <f>IF(U46&gt;0,AB45*(1+Inputs!B15/12)+U46,AB45*(1+Inputs!B15/12))</f>
      </c>
      <c r="AC46" s="9">
        <f>IF(Inputs!B21&gt;0,AA46/Inputs!B21,0)</f>
      </c>
      <c r="AD46" s="11">
        <f>G46+T46</f>
      </c>
      <c r="AE46" s="11">
        <f>H46+W46</f>
      </c>
      <c r="AF46" s="11">
        <f>AD46+AE46</f>
      </c>
      <c r="AG46" s="13">
        <f>IF(M46&gt;0,V46/M46,0)</f>
      </c>
      <c r="AH46" s="11">
        <f>AH45+U46</f>
      </c>
      <c r="AI46" s="8">
        <f>IFERROR((1+IRR(VSTACK($AJ$8:INDEX($AJ:$AJ,ROW()-1),-U46+AA46)))^12-1,0)</f>
      </c>
      <c r="AJ46" s="11">
        <f>-U46</f>
      </c>
    </row>
    <row r="47">
      <c r="A47" s="13">
        <f>A46+1</f>
      </c>
      <c r="B47" t="inlineStr" s="10">
        <is>
          <t>Month 40</t>
        </is>
      </c>
      <c r="C47" s="11">
        <f>Z46</f>
      </c>
      <c r="D47" s="11">
        <f>AA46</f>
      </c>
      <c r="E47" s="11">
        <f>IF(A47&lt;=12,0,INDEX($V$8:$V$127,A47-12)*Inputs!B13*MAX(0,Inputs!B10-12)/12)</f>
      </c>
      <c r="F47" s="11">
        <f>IF(A47&lt;=Inputs!B10,0,INDEX($T$8:$T$127,A47-Inputs!B10))</f>
      </c>
      <c r="G47" s="11">
        <f>AD46-F47</f>
      </c>
      <c r="H47" s="11">
        <f>AE46-IF(A47&lt;=Inputs!B10,0,INDEX($W$8:$W$127,A47-Inputs!B10))</f>
      </c>
      <c r="I47" s="11">
        <f>H47*Inputs!B14/12</f>
      </c>
      <c r="J47" s="11">
        <f>C47+E47+F47-I47</f>
      </c>
      <c r="K47" s="11">
        <f>IF(Inputs!B19=1,MAX(0,Inputs!B5*1000000000-AH46),0)</f>
      </c>
      <c r="L47" s="11">
        <f>MAX(0,J47+K47)</f>
      </c>
      <c r="M47" s="11">
        <f>Inputs!B8*1000000</f>
      </c>
      <c r="N47" s="13">
        <f>Inputs!B9</f>
      </c>
      <c r="O47" s="13">
        <f>MAX(1,SQRT(L47/MAX(M47*MAX(N47,0.01)/(1+Inputs!B11),1)))</f>
      </c>
      <c r="P47" s="13">
        <f>MIN(1,A47/12)</f>
      </c>
      <c r="Q47" s="13">
        <f>IF(Inputs!B7=1,MAX(N47,L47*(1+Inputs!B11)/MAX(M47,1)),N47+(N47*O47-N47)*P47)</f>
      </c>
      <c r="R47" s="11">
        <f>IF(Inputs!B7=1,L47*(1+Inputs!B11),M47*Q47)</f>
      </c>
      <c r="S47" s="11">
        <f>R47/(1+Inputs!B11)</f>
      </c>
      <c r="T47" s="11">
        <f>IF(Inputs!B7=1,L47,MIN(S47,L47))</f>
      </c>
      <c r="U47" s="11">
        <f>IF(Inputs!B19=1,MAX(0,T47-J47),0)</f>
      </c>
      <c r="V47" s="11">
        <f>T47*(1+Inputs!B11)</f>
      </c>
      <c r="W47" s="11">
        <f>V47-T47</f>
      </c>
      <c r="X47" s="11">
        <f>V47*Inputs!B13*MIN(12,Inputs!B10)/12</f>
      </c>
      <c r="Y47" s="11">
        <f>W47*Inputs!B14/12</f>
      </c>
      <c r="Z47" s="11">
        <f>J47+U47-T47+X47-Y47</f>
      </c>
      <c r="AA47" s="11">
        <f>D47+E47-I47+U47+X47-Y47</f>
      </c>
      <c r="AB47" s="11">
        <f>IF(U47&gt;0,AB46*(1+Inputs!B15/12)+U47,AB46*(1+Inputs!B15/12))</f>
      </c>
      <c r="AC47" s="9">
        <f>IF(Inputs!B21&gt;0,AA47/Inputs!B21,0)</f>
      </c>
      <c r="AD47" s="11">
        <f>G47+T47</f>
      </c>
      <c r="AE47" s="11">
        <f>H47+W47</f>
      </c>
      <c r="AF47" s="11">
        <f>AD47+AE47</f>
      </c>
      <c r="AG47" s="13">
        <f>IF(M47&gt;0,V47/M47,0)</f>
      </c>
      <c r="AH47" s="11">
        <f>AH46+U47</f>
      </c>
      <c r="AI47" s="8">
        <f>IFERROR((1+IRR(VSTACK($AJ$8:INDEX($AJ:$AJ,ROW()-1),-U47+AA47)))^12-1,0)</f>
      </c>
      <c r="AJ47" s="11">
        <f>-U47</f>
      </c>
    </row>
    <row r="48">
      <c r="A48" s="13">
        <f>A47+1</f>
      </c>
      <c r="B48" t="inlineStr" s="10">
        <is>
          <t>Month 41</t>
        </is>
      </c>
      <c r="C48" s="11">
        <f>Z47</f>
      </c>
      <c r="D48" s="11">
        <f>AA47</f>
      </c>
      <c r="E48" s="11">
        <f>IF(A48&lt;=12,0,INDEX($V$8:$V$127,A48-12)*Inputs!B13*MAX(0,Inputs!B10-12)/12)</f>
      </c>
      <c r="F48" s="11">
        <f>IF(A48&lt;=Inputs!B10,0,INDEX($T$8:$T$127,A48-Inputs!B10))</f>
      </c>
      <c r="G48" s="11">
        <f>AD47-F48</f>
      </c>
      <c r="H48" s="11">
        <f>AE47-IF(A48&lt;=Inputs!B10,0,INDEX($W$8:$W$127,A48-Inputs!B10))</f>
      </c>
      <c r="I48" s="11">
        <f>H48*Inputs!B14/12</f>
      </c>
      <c r="J48" s="11">
        <f>C48+E48+F48-I48</f>
      </c>
      <c r="K48" s="11">
        <f>IF(Inputs!B19=1,MAX(0,Inputs!B5*1000000000-AH47),0)</f>
      </c>
      <c r="L48" s="11">
        <f>MAX(0,J48+K48)</f>
      </c>
      <c r="M48" s="11">
        <f>Inputs!B8*1000000</f>
      </c>
      <c r="N48" s="13">
        <f>Inputs!B9</f>
      </c>
      <c r="O48" s="13">
        <f>MAX(1,SQRT(L48/MAX(M48*MAX(N48,0.01)/(1+Inputs!B11),1)))</f>
      </c>
      <c r="P48" s="13">
        <f>MIN(1,A48/12)</f>
      </c>
      <c r="Q48" s="13">
        <f>IF(Inputs!B7=1,MAX(N48,L48*(1+Inputs!B11)/MAX(M48,1)),N48+(N48*O48-N48)*P48)</f>
      </c>
      <c r="R48" s="11">
        <f>IF(Inputs!B7=1,L48*(1+Inputs!B11),M48*Q48)</f>
      </c>
      <c r="S48" s="11">
        <f>R48/(1+Inputs!B11)</f>
      </c>
      <c r="T48" s="11">
        <f>IF(Inputs!B7=1,L48,MIN(S48,L48))</f>
      </c>
      <c r="U48" s="11">
        <f>IF(Inputs!B19=1,MAX(0,T48-J48),0)</f>
      </c>
      <c r="V48" s="11">
        <f>T48*(1+Inputs!B11)</f>
      </c>
      <c r="W48" s="11">
        <f>V48-T48</f>
      </c>
      <c r="X48" s="11">
        <f>V48*Inputs!B13*MIN(12,Inputs!B10)/12</f>
      </c>
      <c r="Y48" s="11">
        <f>W48*Inputs!B14/12</f>
      </c>
      <c r="Z48" s="11">
        <f>J48+U48-T48+X48-Y48</f>
      </c>
      <c r="AA48" s="11">
        <f>D48+E48-I48+U48+X48-Y48</f>
      </c>
      <c r="AB48" s="11">
        <f>IF(U48&gt;0,AB47*(1+Inputs!B15/12)+U48,AB47*(1+Inputs!B15/12))</f>
      </c>
      <c r="AC48" s="9">
        <f>IF(Inputs!B21&gt;0,AA48/Inputs!B21,0)</f>
      </c>
      <c r="AD48" s="11">
        <f>G48+T48</f>
      </c>
      <c r="AE48" s="11">
        <f>H48+W48</f>
      </c>
      <c r="AF48" s="11">
        <f>AD48+AE48</f>
      </c>
      <c r="AG48" s="13">
        <f>IF(M48&gt;0,V48/M48,0)</f>
      </c>
      <c r="AH48" s="11">
        <f>AH47+U48</f>
      </c>
      <c r="AI48" s="8">
        <f>IFERROR((1+IRR(VSTACK($AJ$8:INDEX($AJ:$AJ,ROW()-1),-U48+AA48)))^12-1,0)</f>
      </c>
      <c r="AJ48" s="11">
        <f>-U48</f>
      </c>
    </row>
    <row r="49">
      <c r="A49" s="13">
        <f>A48+1</f>
      </c>
      <c r="B49" t="inlineStr" s="10">
        <is>
          <t>Month 42</t>
        </is>
      </c>
      <c r="C49" s="11">
        <f>Z48</f>
      </c>
      <c r="D49" s="11">
        <f>AA48</f>
      </c>
      <c r="E49" s="11">
        <f>IF(A49&lt;=12,0,INDEX($V$8:$V$127,A49-12)*Inputs!B13*MAX(0,Inputs!B10-12)/12)</f>
      </c>
      <c r="F49" s="11">
        <f>IF(A49&lt;=Inputs!B10,0,INDEX($T$8:$T$127,A49-Inputs!B10))</f>
      </c>
      <c r="G49" s="11">
        <f>AD48-F49</f>
      </c>
      <c r="H49" s="11">
        <f>AE48-IF(A49&lt;=Inputs!B10,0,INDEX($W$8:$W$127,A49-Inputs!B10))</f>
      </c>
      <c r="I49" s="11">
        <f>H49*Inputs!B14/12</f>
      </c>
      <c r="J49" s="11">
        <f>C49+E49+F49-I49</f>
      </c>
      <c r="K49" s="11">
        <f>IF(Inputs!B19=1,MAX(0,Inputs!B5*1000000000-AH48),0)</f>
      </c>
      <c r="L49" s="11">
        <f>MAX(0,J49+K49)</f>
      </c>
      <c r="M49" s="11">
        <f>Inputs!B8*1000000</f>
      </c>
      <c r="N49" s="13">
        <f>Inputs!B9</f>
      </c>
      <c r="O49" s="13">
        <f>MAX(1,SQRT(L49/MAX(M49*MAX(N49,0.01)/(1+Inputs!B11),1)))</f>
      </c>
      <c r="P49" s="13">
        <f>MIN(1,A49/12)</f>
      </c>
      <c r="Q49" s="13">
        <f>IF(Inputs!B7=1,MAX(N49,L49*(1+Inputs!B11)/MAX(M49,1)),N49+(N49*O49-N49)*P49)</f>
      </c>
      <c r="R49" s="11">
        <f>IF(Inputs!B7=1,L49*(1+Inputs!B11),M49*Q49)</f>
      </c>
      <c r="S49" s="11">
        <f>R49/(1+Inputs!B11)</f>
      </c>
      <c r="T49" s="11">
        <f>IF(Inputs!B7=1,L49,MIN(S49,L49))</f>
      </c>
      <c r="U49" s="11">
        <f>IF(Inputs!B19=1,MAX(0,T49-J49),0)</f>
      </c>
      <c r="V49" s="11">
        <f>T49*(1+Inputs!B11)</f>
      </c>
      <c r="W49" s="11">
        <f>V49-T49</f>
      </c>
      <c r="X49" s="11">
        <f>V49*Inputs!B13*MIN(12,Inputs!B10)/12</f>
      </c>
      <c r="Y49" s="11">
        <f>W49*Inputs!B14/12</f>
      </c>
      <c r="Z49" s="11">
        <f>J49+U49-T49+X49-Y49</f>
      </c>
      <c r="AA49" s="11">
        <f>D49+E49-I49+U49+X49-Y49</f>
      </c>
      <c r="AB49" s="11">
        <f>IF(U49&gt;0,AB48*(1+Inputs!B15/12)+U49,AB48*(1+Inputs!B15/12))</f>
      </c>
      <c r="AC49" s="9">
        <f>IF(Inputs!B21&gt;0,AA49/Inputs!B21,0)</f>
      </c>
      <c r="AD49" s="11">
        <f>G49+T49</f>
      </c>
      <c r="AE49" s="11">
        <f>H49+W49</f>
      </c>
      <c r="AF49" s="11">
        <f>AD49+AE49</f>
      </c>
      <c r="AG49" s="13">
        <f>IF(M49&gt;0,V49/M49,0)</f>
      </c>
      <c r="AH49" s="11">
        <f>AH48+U49</f>
      </c>
      <c r="AI49" s="8">
        <f>IFERROR((1+IRR(VSTACK($AJ$8:INDEX($AJ:$AJ,ROW()-1),-U49+AA49)))^12-1,0)</f>
      </c>
      <c r="AJ49" s="11">
        <f>-U49</f>
      </c>
    </row>
    <row r="50">
      <c r="A50" s="13">
        <f>A49+1</f>
      </c>
      <c r="B50" t="inlineStr" s="10">
        <is>
          <t>Month 43</t>
        </is>
      </c>
      <c r="C50" s="11">
        <f>Z49</f>
      </c>
      <c r="D50" s="11">
        <f>AA49</f>
      </c>
      <c r="E50" s="11">
        <f>IF(A50&lt;=12,0,INDEX($V$8:$V$127,A50-12)*Inputs!B13*MAX(0,Inputs!B10-12)/12)</f>
      </c>
      <c r="F50" s="11">
        <f>IF(A50&lt;=Inputs!B10,0,INDEX($T$8:$T$127,A50-Inputs!B10))</f>
      </c>
      <c r="G50" s="11">
        <f>AD49-F50</f>
      </c>
      <c r="H50" s="11">
        <f>AE49-IF(A50&lt;=Inputs!B10,0,INDEX($W$8:$W$127,A50-Inputs!B10))</f>
      </c>
      <c r="I50" s="11">
        <f>H50*Inputs!B14/12</f>
      </c>
      <c r="J50" s="11">
        <f>C50+E50+F50-I50</f>
      </c>
      <c r="K50" s="11">
        <f>IF(Inputs!B19=1,MAX(0,Inputs!B5*1000000000-AH49),0)</f>
      </c>
      <c r="L50" s="11">
        <f>MAX(0,J50+K50)</f>
      </c>
      <c r="M50" s="11">
        <f>Inputs!B8*1000000</f>
      </c>
      <c r="N50" s="13">
        <f>Inputs!B9</f>
      </c>
      <c r="O50" s="13">
        <f>MAX(1,SQRT(L50/MAX(M50*MAX(N50,0.01)/(1+Inputs!B11),1)))</f>
      </c>
      <c r="P50" s="13">
        <f>MIN(1,A50/12)</f>
      </c>
      <c r="Q50" s="13">
        <f>IF(Inputs!B7=1,MAX(N50,L50*(1+Inputs!B11)/MAX(M50,1)),N50+(N50*O50-N50)*P50)</f>
      </c>
      <c r="R50" s="11">
        <f>IF(Inputs!B7=1,L50*(1+Inputs!B11),M50*Q50)</f>
      </c>
      <c r="S50" s="11">
        <f>R50/(1+Inputs!B11)</f>
      </c>
      <c r="T50" s="11">
        <f>IF(Inputs!B7=1,L50,MIN(S50,L50))</f>
      </c>
      <c r="U50" s="11">
        <f>IF(Inputs!B19=1,MAX(0,T50-J50),0)</f>
      </c>
      <c r="V50" s="11">
        <f>T50*(1+Inputs!B11)</f>
      </c>
      <c r="W50" s="11">
        <f>V50-T50</f>
      </c>
      <c r="X50" s="11">
        <f>V50*Inputs!B13*MIN(12,Inputs!B10)/12</f>
      </c>
      <c r="Y50" s="11">
        <f>W50*Inputs!B14/12</f>
      </c>
      <c r="Z50" s="11">
        <f>J50+U50-T50+X50-Y50</f>
      </c>
      <c r="AA50" s="11">
        <f>D50+E50-I50+U50+X50-Y50</f>
      </c>
      <c r="AB50" s="11">
        <f>IF(U50&gt;0,AB49*(1+Inputs!B15/12)+U50,AB49*(1+Inputs!B15/12))</f>
      </c>
      <c r="AC50" s="9">
        <f>IF(Inputs!B21&gt;0,AA50/Inputs!B21,0)</f>
      </c>
      <c r="AD50" s="11">
        <f>G50+T50</f>
      </c>
      <c r="AE50" s="11">
        <f>H50+W50</f>
      </c>
      <c r="AF50" s="11">
        <f>AD50+AE50</f>
      </c>
      <c r="AG50" s="13">
        <f>IF(M50&gt;0,V50/M50,0)</f>
      </c>
      <c r="AH50" s="11">
        <f>AH49+U50</f>
      </c>
      <c r="AI50" s="8">
        <f>IFERROR((1+IRR(VSTACK($AJ$8:INDEX($AJ:$AJ,ROW()-1),-U50+AA50)))^12-1,0)</f>
      </c>
      <c r="AJ50" s="11">
        <f>-U50</f>
      </c>
    </row>
    <row r="51">
      <c r="A51" s="13">
        <f>A50+1</f>
      </c>
      <c r="B51" t="inlineStr" s="10">
        <is>
          <t>Month 44</t>
        </is>
      </c>
      <c r="C51" s="11">
        <f>Z50</f>
      </c>
      <c r="D51" s="11">
        <f>AA50</f>
      </c>
      <c r="E51" s="11">
        <f>IF(A51&lt;=12,0,INDEX($V$8:$V$127,A51-12)*Inputs!B13*MAX(0,Inputs!B10-12)/12)</f>
      </c>
      <c r="F51" s="11">
        <f>IF(A51&lt;=Inputs!B10,0,INDEX($T$8:$T$127,A51-Inputs!B10))</f>
      </c>
      <c r="G51" s="11">
        <f>AD50-F51</f>
      </c>
      <c r="H51" s="11">
        <f>AE50-IF(A51&lt;=Inputs!B10,0,INDEX($W$8:$W$127,A51-Inputs!B10))</f>
      </c>
      <c r="I51" s="11">
        <f>H51*Inputs!B14/12</f>
      </c>
      <c r="J51" s="11">
        <f>C51+E51+F51-I51</f>
      </c>
      <c r="K51" s="11">
        <f>IF(Inputs!B19=1,MAX(0,Inputs!B5*1000000000-AH50),0)</f>
      </c>
      <c r="L51" s="11">
        <f>MAX(0,J51+K51)</f>
      </c>
      <c r="M51" s="11">
        <f>Inputs!B8*1000000</f>
      </c>
      <c r="N51" s="13">
        <f>Inputs!B9</f>
      </c>
      <c r="O51" s="13">
        <f>MAX(1,SQRT(L51/MAX(M51*MAX(N51,0.01)/(1+Inputs!B11),1)))</f>
      </c>
      <c r="P51" s="13">
        <f>MIN(1,A51/12)</f>
      </c>
      <c r="Q51" s="13">
        <f>IF(Inputs!B7=1,MAX(N51,L51*(1+Inputs!B11)/MAX(M51,1)),N51+(N51*O51-N51)*P51)</f>
      </c>
      <c r="R51" s="11">
        <f>IF(Inputs!B7=1,L51*(1+Inputs!B11),M51*Q51)</f>
      </c>
      <c r="S51" s="11">
        <f>R51/(1+Inputs!B11)</f>
      </c>
      <c r="T51" s="11">
        <f>IF(Inputs!B7=1,L51,MIN(S51,L51))</f>
      </c>
      <c r="U51" s="11">
        <f>IF(Inputs!B19=1,MAX(0,T51-J51),0)</f>
      </c>
      <c r="V51" s="11">
        <f>T51*(1+Inputs!B11)</f>
      </c>
      <c r="W51" s="11">
        <f>V51-T51</f>
      </c>
      <c r="X51" s="11">
        <f>V51*Inputs!B13*MIN(12,Inputs!B10)/12</f>
      </c>
      <c r="Y51" s="11">
        <f>W51*Inputs!B14/12</f>
      </c>
      <c r="Z51" s="11">
        <f>J51+U51-T51+X51-Y51</f>
      </c>
      <c r="AA51" s="11">
        <f>D51+E51-I51+U51+X51-Y51</f>
      </c>
      <c r="AB51" s="11">
        <f>IF(U51&gt;0,AB50*(1+Inputs!B15/12)+U51,AB50*(1+Inputs!B15/12))</f>
      </c>
      <c r="AC51" s="9">
        <f>IF(Inputs!B21&gt;0,AA51/Inputs!B21,0)</f>
      </c>
      <c r="AD51" s="11">
        <f>G51+T51</f>
      </c>
      <c r="AE51" s="11">
        <f>H51+W51</f>
      </c>
      <c r="AF51" s="11">
        <f>AD51+AE51</f>
      </c>
      <c r="AG51" s="13">
        <f>IF(M51&gt;0,V51/M51,0)</f>
      </c>
      <c r="AH51" s="11">
        <f>AH50+U51</f>
      </c>
      <c r="AI51" s="8">
        <f>IFERROR((1+IRR(VSTACK($AJ$8:INDEX($AJ:$AJ,ROW()-1),-U51+AA51)))^12-1,0)</f>
      </c>
      <c r="AJ51" s="11">
        <f>-U51</f>
      </c>
    </row>
    <row r="52">
      <c r="A52" s="13">
        <f>A51+1</f>
      </c>
      <c r="B52" t="inlineStr" s="10">
        <is>
          <t>Month 45</t>
        </is>
      </c>
      <c r="C52" s="11">
        <f>Z51</f>
      </c>
      <c r="D52" s="11">
        <f>AA51</f>
      </c>
      <c r="E52" s="11">
        <f>IF(A52&lt;=12,0,INDEX($V$8:$V$127,A52-12)*Inputs!B13*MAX(0,Inputs!B10-12)/12)</f>
      </c>
      <c r="F52" s="11">
        <f>IF(A52&lt;=Inputs!B10,0,INDEX($T$8:$T$127,A52-Inputs!B10))</f>
      </c>
      <c r="G52" s="11">
        <f>AD51-F52</f>
      </c>
      <c r="H52" s="11">
        <f>AE51-IF(A52&lt;=Inputs!B10,0,INDEX($W$8:$W$127,A52-Inputs!B10))</f>
      </c>
      <c r="I52" s="11">
        <f>H52*Inputs!B14/12</f>
      </c>
      <c r="J52" s="11">
        <f>C52+E52+F52-I52</f>
      </c>
      <c r="K52" s="11">
        <f>IF(Inputs!B19=1,MAX(0,Inputs!B5*1000000000-AH51),0)</f>
      </c>
      <c r="L52" s="11">
        <f>MAX(0,J52+K52)</f>
      </c>
      <c r="M52" s="11">
        <f>Inputs!B8*1000000</f>
      </c>
      <c r="N52" s="13">
        <f>Inputs!B9</f>
      </c>
      <c r="O52" s="13">
        <f>MAX(1,SQRT(L52/MAX(M52*MAX(N52,0.01)/(1+Inputs!B11),1)))</f>
      </c>
      <c r="P52" s="13">
        <f>MIN(1,A52/12)</f>
      </c>
      <c r="Q52" s="13">
        <f>IF(Inputs!B7=1,MAX(N52,L52*(1+Inputs!B11)/MAX(M52,1)),N52+(N52*O52-N52)*P52)</f>
      </c>
      <c r="R52" s="11">
        <f>IF(Inputs!B7=1,L52*(1+Inputs!B11),M52*Q52)</f>
      </c>
      <c r="S52" s="11">
        <f>R52/(1+Inputs!B11)</f>
      </c>
      <c r="T52" s="11">
        <f>IF(Inputs!B7=1,L52,MIN(S52,L52))</f>
      </c>
      <c r="U52" s="11">
        <f>IF(Inputs!B19=1,MAX(0,T52-J52),0)</f>
      </c>
      <c r="V52" s="11">
        <f>T52*(1+Inputs!B11)</f>
      </c>
      <c r="W52" s="11">
        <f>V52-T52</f>
      </c>
      <c r="X52" s="11">
        <f>V52*Inputs!B13*MIN(12,Inputs!B10)/12</f>
      </c>
      <c r="Y52" s="11">
        <f>W52*Inputs!B14/12</f>
      </c>
      <c r="Z52" s="11">
        <f>J52+U52-T52+X52-Y52</f>
      </c>
      <c r="AA52" s="11">
        <f>D52+E52-I52+U52+X52-Y52</f>
      </c>
      <c r="AB52" s="11">
        <f>IF(U52&gt;0,AB51*(1+Inputs!B15/12)+U52,AB51*(1+Inputs!B15/12))</f>
      </c>
      <c r="AC52" s="9">
        <f>IF(Inputs!B21&gt;0,AA52/Inputs!B21,0)</f>
      </c>
      <c r="AD52" s="11">
        <f>G52+T52</f>
      </c>
      <c r="AE52" s="11">
        <f>H52+W52</f>
      </c>
      <c r="AF52" s="11">
        <f>AD52+AE52</f>
      </c>
      <c r="AG52" s="13">
        <f>IF(M52&gt;0,V52/M52,0)</f>
      </c>
      <c r="AH52" s="11">
        <f>AH51+U52</f>
      </c>
      <c r="AI52" s="8">
        <f>IFERROR((1+IRR(VSTACK($AJ$8:INDEX($AJ:$AJ,ROW()-1),-U52+AA52)))^12-1,0)</f>
      </c>
      <c r="AJ52" s="11">
        <f>-U52</f>
      </c>
    </row>
    <row r="53">
      <c r="A53" s="13">
        <f>A52+1</f>
      </c>
      <c r="B53" t="inlineStr" s="10">
        <is>
          <t>Month 46</t>
        </is>
      </c>
      <c r="C53" s="11">
        <f>Z52</f>
      </c>
      <c r="D53" s="11">
        <f>AA52</f>
      </c>
      <c r="E53" s="11">
        <f>IF(A53&lt;=12,0,INDEX($V$8:$V$127,A53-12)*Inputs!B13*MAX(0,Inputs!B10-12)/12)</f>
      </c>
      <c r="F53" s="11">
        <f>IF(A53&lt;=Inputs!B10,0,INDEX($T$8:$T$127,A53-Inputs!B10))</f>
      </c>
      <c r="G53" s="11">
        <f>AD52-F53</f>
      </c>
      <c r="H53" s="11">
        <f>AE52-IF(A53&lt;=Inputs!B10,0,INDEX($W$8:$W$127,A53-Inputs!B10))</f>
      </c>
      <c r="I53" s="11">
        <f>H53*Inputs!B14/12</f>
      </c>
      <c r="J53" s="11">
        <f>C53+E53+F53-I53</f>
      </c>
      <c r="K53" s="11">
        <f>IF(Inputs!B19=1,MAX(0,Inputs!B5*1000000000-AH52),0)</f>
      </c>
      <c r="L53" s="11">
        <f>MAX(0,J53+K53)</f>
      </c>
      <c r="M53" s="11">
        <f>Inputs!B8*1000000</f>
      </c>
      <c r="N53" s="13">
        <f>Inputs!B9</f>
      </c>
      <c r="O53" s="13">
        <f>MAX(1,SQRT(L53/MAX(M53*MAX(N53,0.01)/(1+Inputs!B11),1)))</f>
      </c>
      <c r="P53" s="13">
        <f>MIN(1,A53/12)</f>
      </c>
      <c r="Q53" s="13">
        <f>IF(Inputs!B7=1,MAX(N53,L53*(1+Inputs!B11)/MAX(M53,1)),N53+(N53*O53-N53)*P53)</f>
      </c>
      <c r="R53" s="11">
        <f>IF(Inputs!B7=1,L53*(1+Inputs!B11),M53*Q53)</f>
      </c>
      <c r="S53" s="11">
        <f>R53/(1+Inputs!B11)</f>
      </c>
      <c r="T53" s="11">
        <f>IF(Inputs!B7=1,L53,MIN(S53,L53))</f>
      </c>
      <c r="U53" s="11">
        <f>IF(Inputs!B19=1,MAX(0,T53-J53),0)</f>
      </c>
      <c r="V53" s="11">
        <f>T53*(1+Inputs!B11)</f>
      </c>
      <c r="W53" s="11">
        <f>V53-T53</f>
      </c>
      <c r="X53" s="11">
        <f>V53*Inputs!B13*MIN(12,Inputs!B10)/12</f>
      </c>
      <c r="Y53" s="11">
        <f>W53*Inputs!B14/12</f>
      </c>
      <c r="Z53" s="11">
        <f>J53+U53-T53+X53-Y53</f>
      </c>
      <c r="AA53" s="11">
        <f>D53+E53-I53+U53+X53-Y53</f>
      </c>
      <c r="AB53" s="11">
        <f>IF(U53&gt;0,AB52*(1+Inputs!B15/12)+U53,AB52*(1+Inputs!B15/12))</f>
      </c>
      <c r="AC53" s="9">
        <f>IF(Inputs!B21&gt;0,AA53/Inputs!B21,0)</f>
      </c>
      <c r="AD53" s="11">
        <f>G53+T53</f>
      </c>
      <c r="AE53" s="11">
        <f>H53+W53</f>
      </c>
      <c r="AF53" s="11">
        <f>AD53+AE53</f>
      </c>
      <c r="AG53" s="13">
        <f>IF(M53&gt;0,V53/M53,0)</f>
      </c>
      <c r="AH53" s="11">
        <f>AH52+U53</f>
      </c>
      <c r="AI53" s="8">
        <f>IFERROR((1+IRR(VSTACK($AJ$8:INDEX($AJ:$AJ,ROW()-1),-U53+AA53)))^12-1,0)</f>
      </c>
      <c r="AJ53" s="11">
        <f>-U53</f>
      </c>
    </row>
    <row r="54">
      <c r="A54" s="13">
        <f>A53+1</f>
      </c>
      <c r="B54" t="inlineStr" s="10">
        <is>
          <t>Month 47</t>
        </is>
      </c>
      <c r="C54" s="11">
        <f>Z53</f>
      </c>
      <c r="D54" s="11">
        <f>AA53</f>
      </c>
      <c r="E54" s="11">
        <f>IF(A54&lt;=12,0,INDEX($V$8:$V$127,A54-12)*Inputs!B13*MAX(0,Inputs!B10-12)/12)</f>
      </c>
      <c r="F54" s="11">
        <f>IF(A54&lt;=Inputs!B10,0,INDEX($T$8:$T$127,A54-Inputs!B10))</f>
      </c>
      <c r="G54" s="11">
        <f>AD53-F54</f>
      </c>
      <c r="H54" s="11">
        <f>AE53-IF(A54&lt;=Inputs!B10,0,INDEX($W$8:$W$127,A54-Inputs!B10))</f>
      </c>
      <c r="I54" s="11">
        <f>H54*Inputs!B14/12</f>
      </c>
      <c r="J54" s="11">
        <f>C54+E54+F54-I54</f>
      </c>
      <c r="K54" s="11">
        <f>IF(Inputs!B19=1,MAX(0,Inputs!B5*1000000000-AH53),0)</f>
      </c>
      <c r="L54" s="11">
        <f>MAX(0,J54+K54)</f>
      </c>
      <c r="M54" s="11">
        <f>Inputs!B8*1000000</f>
      </c>
      <c r="N54" s="13">
        <f>Inputs!B9</f>
      </c>
      <c r="O54" s="13">
        <f>MAX(1,SQRT(L54/MAX(M54*MAX(N54,0.01)/(1+Inputs!B11),1)))</f>
      </c>
      <c r="P54" s="13">
        <f>MIN(1,A54/12)</f>
      </c>
      <c r="Q54" s="13">
        <f>IF(Inputs!B7=1,MAX(N54,L54*(1+Inputs!B11)/MAX(M54,1)),N54+(N54*O54-N54)*P54)</f>
      </c>
      <c r="R54" s="11">
        <f>IF(Inputs!B7=1,L54*(1+Inputs!B11),M54*Q54)</f>
      </c>
      <c r="S54" s="11">
        <f>R54/(1+Inputs!B11)</f>
      </c>
      <c r="T54" s="11">
        <f>IF(Inputs!B7=1,L54,MIN(S54,L54))</f>
      </c>
      <c r="U54" s="11">
        <f>IF(Inputs!B19=1,MAX(0,T54-J54),0)</f>
      </c>
      <c r="V54" s="11">
        <f>T54*(1+Inputs!B11)</f>
      </c>
      <c r="W54" s="11">
        <f>V54-T54</f>
      </c>
      <c r="X54" s="11">
        <f>V54*Inputs!B13*MIN(12,Inputs!B10)/12</f>
      </c>
      <c r="Y54" s="11">
        <f>W54*Inputs!B14/12</f>
      </c>
      <c r="Z54" s="11">
        <f>J54+U54-T54+X54-Y54</f>
      </c>
      <c r="AA54" s="11">
        <f>D54+E54-I54+U54+X54-Y54</f>
      </c>
      <c r="AB54" s="11">
        <f>IF(U54&gt;0,AB53*(1+Inputs!B15/12)+U54,AB53*(1+Inputs!B15/12))</f>
      </c>
      <c r="AC54" s="9">
        <f>IF(Inputs!B21&gt;0,AA54/Inputs!B21,0)</f>
      </c>
      <c r="AD54" s="11">
        <f>G54+T54</f>
      </c>
      <c r="AE54" s="11">
        <f>H54+W54</f>
      </c>
      <c r="AF54" s="11">
        <f>AD54+AE54</f>
      </c>
      <c r="AG54" s="13">
        <f>IF(M54&gt;0,V54/M54,0)</f>
      </c>
      <c r="AH54" s="11">
        <f>AH53+U54</f>
      </c>
      <c r="AI54" s="8">
        <f>IFERROR((1+IRR(VSTACK($AJ$8:INDEX($AJ:$AJ,ROW()-1),-U54+AA54)))^12-1,0)</f>
      </c>
      <c r="AJ54" s="11">
        <f>-U54</f>
      </c>
    </row>
    <row r="55">
      <c r="A55" s="13">
        <f>A54+1</f>
      </c>
      <c r="B55" t="inlineStr" s="10">
        <is>
          <t>Month 48</t>
        </is>
      </c>
      <c r="C55" s="11">
        <f>Z54</f>
      </c>
      <c r="D55" s="11">
        <f>AA54</f>
      </c>
      <c r="E55" s="11">
        <f>IF(A55&lt;=12,0,INDEX($V$8:$V$127,A55-12)*Inputs!B13*MAX(0,Inputs!B10-12)/12)</f>
      </c>
      <c r="F55" s="11">
        <f>IF(A55&lt;=Inputs!B10,0,INDEX($T$8:$T$127,A55-Inputs!B10))</f>
      </c>
      <c r="G55" s="11">
        <f>AD54-F55</f>
      </c>
      <c r="H55" s="11">
        <f>AE54-IF(A55&lt;=Inputs!B10,0,INDEX($W$8:$W$127,A55-Inputs!B10))</f>
      </c>
      <c r="I55" s="11">
        <f>H55*Inputs!B14/12</f>
      </c>
      <c r="J55" s="11">
        <f>C55+E55+F55-I55</f>
      </c>
      <c r="K55" s="11">
        <f>IF(Inputs!B19=1,MAX(0,Inputs!B5*1000000000-AH54),0)</f>
      </c>
      <c r="L55" s="11">
        <f>MAX(0,J55+K55)</f>
      </c>
      <c r="M55" s="11">
        <f>Inputs!B8*1000000</f>
      </c>
      <c r="N55" s="13">
        <f>Inputs!B9</f>
      </c>
      <c r="O55" s="13">
        <f>MAX(1,SQRT(L55/MAX(M55*MAX(N55,0.01)/(1+Inputs!B11),1)))</f>
      </c>
      <c r="P55" s="13">
        <f>MIN(1,A55/12)</f>
      </c>
      <c r="Q55" s="13">
        <f>IF(Inputs!B7=1,MAX(N55,L55*(1+Inputs!B11)/MAX(M55,1)),N55+(N55*O55-N55)*P55)</f>
      </c>
      <c r="R55" s="11">
        <f>IF(Inputs!B7=1,L55*(1+Inputs!B11),M55*Q55)</f>
      </c>
      <c r="S55" s="11">
        <f>R55/(1+Inputs!B11)</f>
      </c>
      <c r="T55" s="11">
        <f>IF(Inputs!B7=1,L55,MIN(S55,L55))</f>
      </c>
      <c r="U55" s="11">
        <f>IF(Inputs!B19=1,MAX(0,T55-J55),0)</f>
      </c>
      <c r="V55" s="11">
        <f>T55*(1+Inputs!B11)</f>
      </c>
      <c r="W55" s="11">
        <f>V55-T55</f>
      </c>
      <c r="X55" s="11">
        <f>V55*Inputs!B13*MIN(12,Inputs!B10)/12</f>
      </c>
      <c r="Y55" s="11">
        <f>W55*Inputs!B14/12</f>
      </c>
      <c r="Z55" s="11">
        <f>J55+U55-T55+X55-Y55</f>
      </c>
      <c r="AA55" s="11">
        <f>D55+E55-I55+U55+X55-Y55</f>
      </c>
      <c r="AB55" s="11">
        <f>IF(U55&gt;0,AB54*(1+Inputs!B15/12)+U55,AB54*(1+Inputs!B15/12))</f>
      </c>
      <c r="AC55" s="9">
        <f>IF(Inputs!B21&gt;0,AA55/Inputs!B21,0)</f>
      </c>
      <c r="AD55" s="11">
        <f>G55+T55</f>
      </c>
      <c r="AE55" s="11">
        <f>H55+W55</f>
      </c>
      <c r="AF55" s="11">
        <f>AD55+AE55</f>
      </c>
      <c r="AG55" s="13">
        <f>IF(M55&gt;0,V55/M55,0)</f>
      </c>
      <c r="AH55" s="11">
        <f>AH54+U55</f>
      </c>
      <c r="AI55" s="8">
        <f>IFERROR((1+IRR(VSTACK($AJ$8:INDEX($AJ:$AJ,ROW()-1),-U55+AA55)))^12-1,0)</f>
      </c>
      <c r="AJ55" s="11">
        <f>-U55</f>
      </c>
    </row>
    <row r="56">
      <c r="A56" s="13">
        <f>A55+1</f>
      </c>
      <c r="B56" t="inlineStr" s="10">
        <is>
          <t>Month 49</t>
        </is>
      </c>
      <c r="C56" s="11">
        <f>Z55</f>
      </c>
      <c r="D56" s="11">
        <f>AA55</f>
      </c>
      <c r="E56" s="11">
        <f>IF(A56&lt;=12,0,INDEX($V$8:$V$127,A56-12)*Inputs!B13*MAX(0,Inputs!B10-12)/12)</f>
      </c>
      <c r="F56" s="11">
        <f>IF(A56&lt;=Inputs!B10,0,INDEX($T$8:$T$127,A56-Inputs!B10))</f>
      </c>
      <c r="G56" s="11">
        <f>AD55-F56</f>
      </c>
      <c r="H56" s="11">
        <f>AE55-IF(A56&lt;=Inputs!B10,0,INDEX($W$8:$W$127,A56-Inputs!B10))</f>
      </c>
      <c r="I56" s="11">
        <f>H56*Inputs!B14/12</f>
      </c>
      <c r="J56" s="11">
        <f>C56+E56+F56-I56</f>
      </c>
      <c r="K56" s="11">
        <f>IF(Inputs!B19=1,MAX(0,Inputs!B5*1000000000-AH55),0)</f>
      </c>
      <c r="L56" s="11">
        <f>MAX(0,J56+K56)</f>
      </c>
      <c r="M56" s="11">
        <f>Inputs!B8*1000000</f>
      </c>
      <c r="N56" s="13">
        <f>Inputs!B9</f>
      </c>
      <c r="O56" s="13">
        <f>MAX(1,SQRT(L56/MAX(M56*MAX(N56,0.01)/(1+Inputs!B11),1)))</f>
      </c>
      <c r="P56" s="13">
        <f>MIN(1,A56/12)</f>
      </c>
      <c r="Q56" s="13">
        <f>IF(Inputs!B7=1,MAX(N56,L56*(1+Inputs!B11)/MAX(M56,1)),N56+(N56*O56-N56)*P56)</f>
      </c>
      <c r="R56" s="11">
        <f>IF(Inputs!B7=1,L56*(1+Inputs!B11),M56*Q56)</f>
      </c>
      <c r="S56" s="11">
        <f>R56/(1+Inputs!B11)</f>
      </c>
      <c r="T56" s="11">
        <f>IF(Inputs!B7=1,L56,MIN(S56,L56))</f>
      </c>
      <c r="U56" s="11">
        <f>IF(Inputs!B19=1,MAX(0,T56-J56),0)</f>
      </c>
      <c r="V56" s="11">
        <f>T56*(1+Inputs!B11)</f>
      </c>
      <c r="W56" s="11">
        <f>V56-T56</f>
      </c>
      <c r="X56" s="11">
        <f>V56*Inputs!B13*MIN(12,Inputs!B10)/12</f>
      </c>
      <c r="Y56" s="11">
        <f>W56*Inputs!B14/12</f>
      </c>
      <c r="Z56" s="11">
        <f>J56+U56-T56+X56-Y56</f>
      </c>
      <c r="AA56" s="11">
        <f>D56+E56-I56+U56+X56-Y56</f>
      </c>
      <c r="AB56" s="11">
        <f>IF(U56&gt;0,AB55*(1+Inputs!B15/12)+U56,AB55*(1+Inputs!B15/12))</f>
      </c>
      <c r="AC56" s="9">
        <f>IF(Inputs!B21&gt;0,AA56/Inputs!B21,0)</f>
      </c>
      <c r="AD56" s="11">
        <f>G56+T56</f>
      </c>
      <c r="AE56" s="11">
        <f>H56+W56</f>
      </c>
      <c r="AF56" s="11">
        <f>AD56+AE56</f>
      </c>
      <c r="AG56" s="13">
        <f>IF(M56&gt;0,V56/M56,0)</f>
      </c>
      <c r="AH56" s="11">
        <f>AH55+U56</f>
      </c>
      <c r="AI56" s="8">
        <f>IFERROR((1+IRR(VSTACK($AJ$8:INDEX($AJ:$AJ,ROW()-1),-U56+AA56)))^12-1,0)</f>
      </c>
      <c r="AJ56" s="11">
        <f>-U56</f>
      </c>
    </row>
    <row r="57">
      <c r="A57" s="13">
        <f>A56+1</f>
      </c>
      <c r="B57" t="inlineStr" s="10">
        <is>
          <t>Month 50</t>
        </is>
      </c>
      <c r="C57" s="11">
        <f>Z56</f>
      </c>
      <c r="D57" s="11">
        <f>AA56</f>
      </c>
      <c r="E57" s="11">
        <f>IF(A57&lt;=12,0,INDEX($V$8:$V$127,A57-12)*Inputs!B13*MAX(0,Inputs!B10-12)/12)</f>
      </c>
      <c r="F57" s="11">
        <f>IF(A57&lt;=Inputs!B10,0,INDEX($T$8:$T$127,A57-Inputs!B10))</f>
      </c>
      <c r="G57" s="11">
        <f>AD56-F57</f>
      </c>
      <c r="H57" s="11">
        <f>AE56-IF(A57&lt;=Inputs!B10,0,INDEX($W$8:$W$127,A57-Inputs!B10))</f>
      </c>
      <c r="I57" s="11">
        <f>H57*Inputs!B14/12</f>
      </c>
      <c r="J57" s="11">
        <f>C57+E57+F57-I57</f>
      </c>
      <c r="K57" s="11">
        <f>IF(Inputs!B19=1,MAX(0,Inputs!B5*1000000000-AH56),0)</f>
      </c>
      <c r="L57" s="11">
        <f>MAX(0,J57+K57)</f>
      </c>
      <c r="M57" s="11">
        <f>Inputs!B8*1000000</f>
      </c>
      <c r="N57" s="13">
        <f>Inputs!B9</f>
      </c>
      <c r="O57" s="13">
        <f>MAX(1,SQRT(L57/MAX(M57*MAX(N57,0.01)/(1+Inputs!B11),1)))</f>
      </c>
      <c r="P57" s="13">
        <f>MIN(1,A57/12)</f>
      </c>
      <c r="Q57" s="13">
        <f>IF(Inputs!B7=1,MAX(N57,L57*(1+Inputs!B11)/MAX(M57,1)),N57+(N57*O57-N57)*P57)</f>
      </c>
      <c r="R57" s="11">
        <f>IF(Inputs!B7=1,L57*(1+Inputs!B11),M57*Q57)</f>
      </c>
      <c r="S57" s="11">
        <f>R57/(1+Inputs!B11)</f>
      </c>
      <c r="T57" s="11">
        <f>IF(Inputs!B7=1,L57,MIN(S57,L57))</f>
      </c>
      <c r="U57" s="11">
        <f>IF(Inputs!B19=1,MAX(0,T57-J57),0)</f>
      </c>
      <c r="V57" s="11">
        <f>T57*(1+Inputs!B11)</f>
      </c>
      <c r="W57" s="11">
        <f>V57-T57</f>
      </c>
      <c r="X57" s="11">
        <f>V57*Inputs!B13*MIN(12,Inputs!B10)/12</f>
      </c>
      <c r="Y57" s="11">
        <f>W57*Inputs!B14/12</f>
      </c>
      <c r="Z57" s="11">
        <f>J57+U57-T57+X57-Y57</f>
      </c>
      <c r="AA57" s="11">
        <f>D57+E57-I57+U57+X57-Y57</f>
      </c>
      <c r="AB57" s="11">
        <f>IF(U57&gt;0,AB56*(1+Inputs!B15/12)+U57,AB56*(1+Inputs!B15/12))</f>
      </c>
      <c r="AC57" s="9">
        <f>IF(Inputs!B21&gt;0,AA57/Inputs!B21,0)</f>
      </c>
      <c r="AD57" s="11">
        <f>G57+T57</f>
      </c>
      <c r="AE57" s="11">
        <f>H57+W57</f>
      </c>
      <c r="AF57" s="11">
        <f>AD57+AE57</f>
      </c>
      <c r="AG57" s="13">
        <f>IF(M57&gt;0,V57/M57,0)</f>
      </c>
      <c r="AH57" s="11">
        <f>AH56+U57</f>
      </c>
      <c r="AI57" s="8">
        <f>IFERROR((1+IRR(VSTACK($AJ$8:INDEX($AJ:$AJ,ROW()-1),-U57+AA57)))^12-1,0)</f>
      </c>
      <c r="AJ57" s="11">
        <f>-U57</f>
      </c>
    </row>
    <row r="58">
      <c r="A58" s="13">
        <f>A57+1</f>
      </c>
      <c r="B58" t="inlineStr" s="10">
        <is>
          <t>Month 51</t>
        </is>
      </c>
      <c r="C58" s="11">
        <f>Z57</f>
      </c>
      <c r="D58" s="11">
        <f>AA57</f>
      </c>
      <c r="E58" s="11">
        <f>IF(A58&lt;=12,0,INDEX($V$8:$V$127,A58-12)*Inputs!B13*MAX(0,Inputs!B10-12)/12)</f>
      </c>
      <c r="F58" s="11">
        <f>IF(A58&lt;=Inputs!B10,0,INDEX($T$8:$T$127,A58-Inputs!B10))</f>
      </c>
      <c r="G58" s="11">
        <f>AD57-F58</f>
      </c>
      <c r="H58" s="11">
        <f>AE57-IF(A58&lt;=Inputs!B10,0,INDEX($W$8:$W$127,A58-Inputs!B10))</f>
      </c>
      <c r="I58" s="11">
        <f>H58*Inputs!B14/12</f>
      </c>
      <c r="J58" s="11">
        <f>C58+E58+F58-I58</f>
      </c>
      <c r="K58" s="11">
        <f>IF(Inputs!B19=1,MAX(0,Inputs!B5*1000000000-AH57),0)</f>
      </c>
      <c r="L58" s="11">
        <f>MAX(0,J58+K58)</f>
      </c>
      <c r="M58" s="11">
        <f>Inputs!B8*1000000</f>
      </c>
      <c r="N58" s="13">
        <f>Inputs!B9</f>
      </c>
      <c r="O58" s="13">
        <f>MAX(1,SQRT(L58/MAX(M58*MAX(N58,0.01)/(1+Inputs!B11),1)))</f>
      </c>
      <c r="P58" s="13">
        <f>MIN(1,A58/12)</f>
      </c>
      <c r="Q58" s="13">
        <f>IF(Inputs!B7=1,MAX(N58,L58*(1+Inputs!B11)/MAX(M58,1)),N58+(N58*O58-N58)*P58)</f>
      </c>
      <c r="R58" s="11">
        <f>IF(Inputs!B7=1,L58*(1+Inputs!B11),M58*Q58)</f>
      </c>
      <c r="S58" s="11">
        <f>R58/(1+Inputs!B11)</f>
      </c>
      <c r="T58" s="11">
        <f>IF(Inputs!B7=1,L58,MIN(S58,L58))</f>
      </c>
      <c r="U58" s="11">
        <f>IF(Inputs!B19=1,MAX(0,T58-J58),0)</f>
      </c>
      <c r="V58" s="11">
        <f>T58*(1+Inputs!B11)</f>
      </c>
      <c r="W58" s="11">
        <f>V58-T58</f>
      </c>
      <c r="X58" s="11">
        <f>V58*Inputs!B13*MIN(12,Inputs!B10)/12</f>
      </c>
      <c r="Y58" s="11">
        <f>W58*Inputs!B14/12</f>
      </c>
      <c r="Z58" s="11">
        <f>J58+U58-T58+X58-Y58</f>
      </c>
      <c r="AA58" s="11">
        <f>D58+E58-I58+U58+X58-Y58</f>
      </c>
      <c r="AB58" s="11">
        <f>IF(U58&gt;0,AB57*(1+Inputs!B15/12)+U58,AB57*(1+Inputs!B15/12))</f>
      </c>
      <c r="AC58" s="9">
        <f>IF(Inputs!B21&gt;0,AA58/Inputs!B21,0)</f>
      </c>
      <c r="AD58" s="11">
        <f>G58+T58</f>
      </c>
      <c r="AE58" s="11">
        <f>H58+W58</f>
      </c>
      <c r="AF58" s="11">
        <f>AD58+AE58</f>
      </c>
      <c r="AG58" s="13">
        <f>IF(M58&gt;0,V58/M58,0)</f>
      </c>
      <c r="AH58" s="11">
        <f>AH57+U58</f>
      </c>
      <c r="AI58" s="8">
        <f>IFERROR((1+IRR(VSTACK($AJ$8:INDEX($AJ:$AJ,ROW()-1),-U58+AA58)))^12-1,0)</f>
      </c>
      <c r="AJ58" s="11">
        <f>-U58</f>
      </c>
    </row>
    <row r="59">
      <c r="A59" s="13">
        <f>A58+1</f>
      </c>
      <c r="B59" t="inlineStr" s="10">
        <is>
          <t>Month 52</t>
        </is>
      </c>
      <c r="C59" s="11">
        <f>Z58</f>
      </c>
      <c r="D59" s="11">
        <f>AA58</f>
      </c>
      <c r="E59" s="11">
        <f>IF(A59&lt;=12,0,INDEX($V$8:$V$127,A59-12)*Inputs!B13*MAX(0,Inputs!B10-12)/12)</f>
      </c>
      <c r="F59" s="11">
        <f>IF(A59&lt;=Inputs!B10,0,INDEX($T$8:$T$127,A59-Inputs!B10))</f>
      </c>
      <c r="G59" s="11">
        <f>AD58-F59</f>
      </c>
      <c r="H59" s="11">
        <f>AE58-IF(A59&lt;=Inputs!B10,0,INDEX($W$8:$W$127,A59-Inputs!B10))</f>
      </c>
      <c r="I59" s="11">
        <f>H59*Inputs!B14/12</f>
      </c>
      <c r="J59" s="11">
        <f>C59+E59+F59-I59</f>
      </c>
      <c r="K59" s="11">
        <f>IF(Inputs!B19=1,MAX(0,Inputs!B5*1000000000-AH58),0)</f>
      </c>
      <c r="L59" s="11">
        <f>MAX(0,J59+K59)</f>
      </c>
      <c r="M59" s="11">
        <f>Inputs!B8*1000000</f>
      </c>
      <c r="N59" s="13">
        <f>Inputs!B9</f>
      </c>
      <c r="O59" s="13">
        <f>MAX(1,SQRT(L59/MAX(M59*MAX(N59,0.01)/(1+Inputs!B11),1)))</f>
      </c>
      <c r="P59" s="13">
        <f>MIN(1,A59/12)</f>
      </c>
      <c r="Q59" s="13">
        <f>IF(Inputs!B7=1,MAX(N59,L59*(1+Inputs!B11)/MAX(M59,1)),N59+(N59*O59-N59)*P59)</f>
      </c>
      <c r="R59" s="11">
        <f>IF(Inputs!B7=1,L59*(1+Inputs!B11),M59*Q59)</f>
      </c>
      <c r="S59" s="11">
        <f>R59/(1+Inputs!B11)</f>
      </c>
      <c r="T59" s="11">
        <f>IF(Inputs!B7=1,L59,MIN(S59,L59))</f>
      </c>
      <c r="U59" s="11">
        <f>IF(Inputs!B19=1,MAX(0,T59-J59),0)</f>
      </c>
      <c r="V59" s="11">
        <f>T59*(1+Inputs!B11)</f>
      </c>
      <c r="W59" s="11">
        <f>V59-T59</f>
      </c>
      <c r="X59" s="11">
        <f>V59*Inputs!B13*MIN(12,Inputs!B10)/12</f>
      </c>
      <c r="Y59" s="11">
        <f>W59*Inputs!B14/12</f>
      </c>
      <c r="Z59" s="11">
        <f>J59+U59-T59+X59-Y59</f>
      </c>
      <c r="AA59" s="11">
        <f>D59+E59-I59+U59+X59-Y59</f>
      </c>
      <c r="AB59" s="11">
        <f>IF(U59&gt;0,AB58*(1+Inputs!B15/12)+U59,AB58*(1+Inputs!B15/12))</f>
      </c>
      <c r="AC59" s="9">
        <f>IF(Inputs!B21&gt;0,AA59/Inputs!B21,0)</f>
      </c>
      <c r="AD59" s="11">
        <f>G59+T59</f>
      </c>
      <c r="AE59" s="11">
        <f>H59+W59</f>
      </c>
      <c r="AF59" s="11">
        <f>AD59+AE59</f>
      </c>
      <c r="AG59" s="13">
        <f>IF(M59&gt;0,V59/M59,0)</f>
      </c>
      <c r="AH59" s="11">
        <f>AH58+U59</f>
      </c>
      <c r="AI59" s="8">
        <f>IFERROR((1+IRR(VSTACK($AJ$8:INDEX($AJ:$AJ,ROW()-1),-U59+AA59)))^12-1,0)</f>
      </c>
      <c r="AJ59" s="11">
        <f>-U59</f>
      </c>
    </row>
    <row r="60">
      <c r="A60" s="13">
        <f>A59+1</f>
      </c>
      <c r="B60" t="inlineStr" s="10">
        <is>
          <t>Month 53</t>
        </is>
      </c>
      <c r="C60" s="11">
        <f>Z59</f>
      </c>
      <c r="D60" s="11">
        <f>AA59</f>
      </c>
      <c r="E60" s="11">
        <f>IF(A60&lt;=12,0,INDEX($V$8:$V$127,A60-12)*Inputs!B13*MAX(0,Inputs!B10-12)/12)</f>
      </c>
      <c r="F60" s="11">
        <f>IF(A60&lt;=Inputs!B10,0,INDEX($T$8:$T$127,A60-Inputs!B10))</f>
      </c>
      <c r="G60" s="11">
        <f>AD59-F60</f>
      </c>
      <c r="H60" s="11">
        <f>AE59-IF(A60&lt;=Inputs!B10,0,INDEX($W$8:$W$127,A60-Inputs!B10))</f>
      </c>
      <c r="I60" s="11">
        <f>H60*Inputs!B14/12</f>
      </c>
      <c r="J60" s="11">
        <f>C60+E60+F60-I60</f>
      </c>
      <c r="K60" s="11">
        <f>IF(Inputs!B19=1,MAX(0,Inputs!B5*1000000000-AH59),0)</f>
      </c>
      <c r="L60" s="11">
        <f>MAX(0,J60+K60)</f>
      </c>
      <c r="M60" s="11">
        <f>Inputs!B8*1000000</f>
      </c>
      <c r="N60" s="13">
        <f>Inputs!B9</f>
      </c>
      <c r="O60" s="13">
        <f>MAX(1,SQRT(L60/MAX(M60*MAX(N60,0.01)/(1+Inputs!B11),1)))</f>
      </c>
      <c r="P60" s="13">
        <f>MIN(1,A60/12)</f>
      </c>
      <c r="Q60" s="13">
        <f>IF(Inputs!B7=1,MAX(N60,L60*(1+Inputs!B11)/MAX(M60,1)),N60+(N60*O60-N60)*P60)</f>
      </c>
      <c r="R60" s="11">
        <f>IF(Inputs!B7=1,L60*(1+Inputs!B11),M60*Q60)</f>
      </c>
      <c r="S60" s="11">
        <f>R60/(1+Inputs!B11)</f>
      </c>
      <c r="T60" s="11">
        <f>IF(Inputs!B7=1,L60,MIN(S60,L60))</f>
      </c>
      <c r="U60" s="11">
        <f>IF(Inputs!B19=1,MAX(0,T60-J60),0)</f>
      </c>
      <c r="V60" s="11">
        <f>T60*(1+Inputs!B11)</f>
      </c>
      <c r="W60" s="11">
        <f>V60-T60</f>
      </c>
      <c r="X60" s="11">
        <f>V60*Inputs!B13*MIN(12,Inputs!B10)/12</f>
      </c>
      <c r="Y60" s="11">
        <f>W60*Inputs!B14/12</f>
      </c>
      <c r="Z60" s="11">
        <f>J60+U60-T60+X60-Y60</f>
      </c>
      <c r="AA60" s="11">
        <f>D60+E60-I60+U60+X60-Y60</f>
      </c>
      <c r="AB60" s="11">
        <f>IF(U60&gt;0,AB59*(1+Inputs!B15/12)+U60,AB59*(1+Inputs!B15/12))</f>
      </c>
      <c r="AC60" s="9">
        <f>IF(Inputs!B21&gt;0,AA60/Inputs!B21,0)</f>
      </c>
      <c r="AD60" s="11">
        <f>G60+T60</f>
      </c>
      <c r="AE60" s="11">
        <f>H60+W60</f>
      </c>
      <c r="AF60" s="11">
        <f>AD60+AE60</f>
      </c>
      <c r="AG60" s="13">
        <f>IF(M60&gt;0,V60/M60,0)</f>
      </c>
      <c r="AH60" s="11">
        <f>AH59+U60</f>
      </c>
      <c r="AI60" s="8">
        <f>IFERROR((1+IRR(VSTACK($AJ$8:INDEX($AJ:$AJ,ROW()-1),-U60+AA60)))^12-1,0)</f>
      </c>
      <c r="AJ60" s="11">
        <f>-U60</f>
      </c>
    </row>
    <row r="61">
      <c r="A61" s="13">
        <f>A60+1</f>
      </c>
      <c r="B61" t="inlineStr" s="10">
        <is>
          <t>Month 54</t>
        </is>
      </c>
      <c r="C61" s="11">
        <f>Z60</f>
      </c>
      <c r="D61" s="11">
        <f>AA60</f>
      </c>
      <c r="E61" s="11">
        <f>IF(A61&lt;=12,0,INDEX($V$8:$V$127,A61-12)*Inputs!B13*MAX(0,Inputs!B10-12)/12)</f>
      </c>
      <c r="F61" s="11">
        <f>IF(A61&lt;=Inputs!B10,0,INDEX($T$8:$T$127,A61-Inputs!B10))</f>
      </c>
      <c r="G61" s="11">
        <f>AD60-F61</f>
      </c>
      <c r="H61" s="11">
        <f>AE60-IF(A61&lt;=Inputs!B10,0,INDEX($W$8:$W$127,A61-Inputs!B10))</f>
      </c>
      <c r="I61" s="11">
        <f>H61*Inputs!B14/12</f>
      </c>
      <c r="J61" s="11">
        <f>C61+E61+F61-I61</f>
      </c>
      <c r="K61" s="11">
        <f>IF(Inputs!B19=1,MAX(0,Inputs!B5*1000000000-AH60),0)</f>
      </c>
      <c r="L61" s="11">
        <f>MAX(0,J61+K61)</f>
      </c>
      <c r="M61" s="11">
        <f>Inputs!B8*1000000</f>
      </c>
      <c r="N61" s="13">
        <f>Inputs!B9</f>
      </c>
      <c r="O61" s="13">
        <f>MAX(1,SQRT(L61/MAX(M61*MAX(N61,0.01)/(1+Inputs!B11),1)))</f>
      </c>
      <c r="P61" s="13">
        <f>MIN(1,A61/12)</f>
      </c>
      <c r="Q61" s="13">
        <f>IF(Inputs!B7=1,MAX(N61,L61*(1+Inputs!B11)/MAX(M61,1)),N61+(N61*O61-N61)*P61)</f>
      </c>
      <c r="R61" s="11">
        <f>IF(Inputs!B7=1,L61*(1+Inputs!B11),M61*Q61)</f>
      </c>
      <c r="S61" s="11">
        <f>R61/(1+Inputs!B11)</f>
      </c>
      <c r="T61" s="11">
        <f>IF(Inputs!B7=1,L61,MIN(S61,L61))</f>
      </c>
      <c r="U61" s="11">
        <f>IF(Inputs!B19=1,MAX(0,T61-J61),0)</f>
      </c>
      <c r="V61" s="11">
        <f>T61*(1+Inputs!B11)</f>
      </c>
      <c r="W61" s="11">
        <f>V61-T61</f>
      </c>
      <c r="X61" s="11">
        <f>V61*Inputs!B13*MIN(12,Inputs!B10)/12</f>
      </c>
      <c r="Y61" s="11">
        <f>W61*Inputs!B14/12</f>
      </c>
      <c r="Z61" s="11">
        <f>J61+U61-T61+X61-Y61</f>
      </c>
      <c r="AA61" s="11">
        <f>D61+E61-I61+U61+X61-Y61</f>
      </c>
      <c r="AB61" s="11">
        <f>IF(U61&gt;0,AB60*(1+Inputs!B15/12)+U61,AB60*(1+Inputs!B15/12))</f>
      </c>
      <c r="AC61" s="9">
        <f>IF(Inputs!B21&gt;0,AA61/Inputs!B21,0)</f>
      </c>
      <c r="AD61" s="11">
        <f>G61+T61</f>
      </c>
      <c r="AE61" s="11">
        <f>H61+W61</f>
      </c>
      <c r="AF61" s="11">
        <f>AD61+AE61</f>
      </c>
      <c r="AG61" s="13">
        <f>IF(M61&gt;0,V61/M61,0)</f>
      </c>
      <c r="AH61" s="11">
        <f>AH60+U61</f>
      </c>
      <c r="AI61" s="8">
        <f>IFERROR((1+IRR(VSTACK($AJ$8:INDEX($AJ:$AJ,ROW()-1),-U61+AA61)))^12-1,0)</f>
      </c>
      <c r="AJ61" s="11">
        <f>-U61</f>
      </c>
    </row>
    <row r="62">
      <c r="A62" s="13">
        <f>A61+1</f>
      </c>
      <c r="B62" t="inlineStr" s="10">
        <is>
          <t>Month 55</t>
        </is>
      </c>
      <c r="C62" s="11">
        <f>Z61</f>
      </c>
      <c r="D62" s="11">
        <f>AA61</f>
      </c>
      <c r="E62" s="11">
        <f>IF(A62&lt;=12,0,INDEX($V$8:$V$127,A62-12)*Inputs!B13*MAX(0,Inputs!B10-12)/12)</f>
      </c>
      <c r="F62" s="11">
        <f>IF(A62&lt;=Inputs!B10,0,INDEX($T$8:$T$127,A62-Inputs!B10))</f>
      </c>
      <c r="G62" s="11">
        <f>AD61-F62</f>
      </c>
      <c r="H62" s="11">
        <f>AE61-IF(A62&lt;=Inputs!B10,0,INDEX($W$8:$W$127,A62-Inputs!B10))</f>
      </c>
      <c r="I62" s="11">
        <f>H62*Inputs!B14/12</f>
      </c>
      <c r="J62" s="11">
        <f>C62+E62+F62-I62</f>
      </c>
      <c r="K62" s="11">
        <f>IF(Inputs!B19=1,MAX(0,Inputs!B5*1000000000-AH61),0)</f>
      </c>
      <c r="L62" s="11">
        <f>MAX(0,J62+K62)</f>
      </c>
      <c r="M62" s="11">
        <f>Inputs!B8*1000000</f>
      </c>
      <c r="N62" s="13">
        <f>Inputs!B9</f>
      </c>
      <c r="O62" s="13">
        <f>MAX(1,SQRT(L62/MAX(M62*MAX(N62,0.01)/(1+Inputs!B11),1)))</f>
      </c>
      <c r="P62" s="13">
        <f>MIN(1,A62/12)</f>
      </c>
      <c r="Q62" s="13">
        <f>IF(Inputs!B7=1,MAX(N62,L62*(1+Inputs!B11)/MAX(M62,1)),N62+(N62*O62-N62)*P62)</f>
      </c>
      <c r="R62" s="11">
        <f>IF(Inputs!B7=1,L62*(1+Inputs!B11),M62*Q62)</f>
      </c>
      <c r="S62" s="11">
        <f>R62/(1+Inputs!B11)</f>
      </c>
      <c r="T62" s="11">
        <f>IF(Inputs!B7=1,L62,MIN(S62,L62))</f>
      </c>
      <c r="U62" s="11">
        <f>IF(Inputs!B19=1,MAX(0,T62-J62),0)</f>
      </c>
      <c r="V62" s="11">
        <f>T62*(1+Inputs!B11)</f>
      </c>
      <c r="W62" s="11">
        <f>V62-T62</f>
      </c>
      <c r="X62" s="11">
        <f>V62*Inputs!B13*MIN(12,Inputs!B10)/12</f>
      </c>
      <c r="Y62" s="11">
        <f>W62*Inputs!B14/12</f>
      </c>
      <c r="Z62" s="11">
        <f>J62+U62-T62+X62-Y62</f>
      </c>
      <c r="AA62" s="11">
        <f>D62+E62-I62+U62+X62-Y62</f>
      </c>
      <c r="AB62" s="11">
        <f>IF(U62&gt;0,AB61*(1+Inputs!B15/12)+U62,AB61*(1+Inputs!B15/12))</f>
      </c>
      <c r="AC62" s="9">
        <f>IF(Inputs!B21&gt;0,AA62/Inputs!B21,0)</f>
      </c>
      <c r="AD62" s="11">
        <f>G62+T62</f>
      </c>
      <c r="AE62" s="11">
        <f>H62+W62</f>
      </c>
      <c r="AF62" s="11">
        <f>AD62+AE62</f>
      </c>
      <c r="AG62" s="13">
        <f>IF(M62&gt;0,V62/M62,0)</f>
      </c>
      <c r="AH62" s="11">
        <f>AH61+U62</f>
      </c>
      <c r="AI62" s="8">
        <f>IFERROR((1+IRR(VSTACK($AJ$8:INDEX($AJ:$AJ,ROW()-1),-U62+AA62)))^12-1,0)</f>
      </c>
      <c r="AJ62" s="11">
        <f>-U62</f>
      </c>
    </row>
    <row r="63">
      <c r="A63" s="13">
        <f>A62+1</f>
      </c>
      <c r="B63" t="inlineStr" s="10">
        <is>
          <t>Month 56</t>
        </is>
      </c>
      <c r="C63" s="11">
        <f>Z62</f>
      </c>
      <c r="D63" s="11">
        <f>AA62</f>
      </c>
      <c r="E63" s="11">
        <f>IF(A63&lt;=12,0,INDEX($V$8:$V$127,A63-12)*Inputs!B13*MAX(0,Inputs!B10-12)/12)</f>
      </c>
      <c r="F63" s="11">
        <f>IF(A63&lt;=Inputs!B10,0,INDEX($T$8:$T$127,A63-Inputs!B10))</f>
      </c>
      <c r="G63" s="11">
        <f>AD62-F63</f>
      </c>
      <c r="H63" s="11">
        <f>AE62-IF(A63&lt;=Inputs!B10,0,INDEX($W$8:$W$127,A63-Inputs!B10))</f>
      </c>
      <c r="I63" s="11">
        <f>H63*Inputs!B14/12</f>
      </c>
      <c r="J63" s="11">
        <f>C63+E63+F63-I63</f>
      </c>
      <c r="K63" s="11">
        <f>IF(Inputs!B19=1,MAX(0,Inputs!B5*1000000000-AH62),0)</f>
      </c>
      <c r="L63" s="11">
        <f>MAX(0,J63+K63)</f>
      </c>
      <c r="M63" s="11">
        <f>Inputs!B8*1000000</f>
      </c>
      <c r="N63" s="13">
        <f>Inputs!B9</f>
      </c>
      <c r="O63" s="13">
        <f>MAX(1,SQRT(L63/MAX(M63*MAX(N63,0.01)/(1+Inputs!B11),1)))</f>
      </c>
      <c r="P63" s="13">
        <f>MIN(1,A63/12)</f>
      </c>
      <c r="Q63" s="13">
        <f>IF(Inputs!B7=1,MAX(N63,L63*(1+Inputs!B11)/MAX(M63,1)),N63+(N63*O63-N63)*P63)</f>
      </c>
      <c r="R63" s="11">
        <f>IF(Inputs!B7=1,L63*(1+Inputs!B11),M63*Q63)</f>
      </c>
      <c r="S63" s="11">
        <f>R63/(1+Inputs!B11)</f>
      </c>
      <c r="T63" s="11">
        <f>IF(Inputs!B7=1,L63,MIN(S63,L63))</f>
      </c>
      <c r="U63" s="11">
        <f>IF(Inputs!B19=1,MAX(0,T63-J63),0)</f>
      </c>
      <c r="V63" s="11">
        <f>T63*(1+Inputs!B11)</f>
      </c>
      <c r="W63" s="11">
        <f>V63-T63</f>
      </c>
      <c r="X63" s="11">
        <f>V63*Inputs!B13*MIN(12,Inputs!B10)/12</f>
      </c>
      <c r="Y63" s="11">
        <f>W63*Inputs!B14/12</f>
      </c>
      <c r="Z63" s="11">
        <f>J63+U63-T63+X63-Y63</f>
      </c>
      <c r="AA63" s="11">
        <f>D63+E63-I63+U63+X63-Y63</f>
      </c>
      <c r="AB63" s="11">
        <f>IF(U63&gt;0,AB62*(1+Inputs!B15/12)+U63,AB62*(1+Inputs!B15/12))</f>
      </c>
      <c r="AC63" s="9">
        <f>IF(Inputs!B21&gt;0,AA63/Inputs!B21,0)</f>
      </c>
      <c r="AD63" s="11">
        <f>G63+T63</f>
      </c>
      <c r="AE63" s="11">
        <f>H63+W63</f>
      </c>
      <c r="AF63" s="11">
        <f>AD63+AE63</f>
      </c>
      <c r="AG63" s="13">
        <f>IF(M63&gt;0,V63/M63,0)</f>
      </c>
      <c r="AH63" s="11">
        <f>AH62+U63</f>
      </c>
      <c r="AI63" s="8">
        <f>IFERROR((1+IRR(VSTACK($AJ$8:INDEX($AJ:$AJ,ROW()-1),-U63+AA63)))^12-1,0)</f>
      </c>
      <c r="AJ63" s="11">
        <f>-U63</f>
      </c>
    </row>
    <row r="64">
      <c r="A64" s="13">
        <f>A63+1</f>
      </c>
      <c r="B64" t="inlineStr" s="10">
        <is>
          <t>Month 57</t>
        </is>
      </c>
      <c r="C64" s="11">
        <f>Z63</f>
      </c>
      <c r="D64" s="11">
        <f>AA63</f>
      </c>
      <c r="E64" s="11">
        <f>IF(A64&lt;=12,0,INDEX($V$8:$V$127,A64-12)*Inputs!B13*MAX(0,Inputs!B10-12)/12)</f>
      </c>
      <c r="F64" s="11">
        <f>IF(A64&lt;=Inputs!B10,0,INDEX($T$8:$T$127,A64-Inputs!B10))</f>
      </c>
      <c r="G64" s="11">
        <f>AD63-F64</f>
      </c>
      <c r="H64" s="11">
        <f>AE63-IF(A64&lt;=Inputs!B10,0,INDEX($W$8:$W$127,A64-Inputs!B10))</f>
      </c>
      <c r="I64" s="11">
        <f>H64*Inputs!B14/12</f>
      </c>
      <c r="J64" s="11">
        <f>C64+E64+F64-I64</f>
      </c>
      <c r="K64" s="11">
        <f>IF(Inputs!B19=1,MAX(0,Inputs!B5*1000000000-AH63),0)</f>
      </c>
      <c r="L64" s="11">
        <f>MAX(0,J64+K64)</f>
      </c>
      <c r="M64" s="11">
        <f>Inputs!B8*1000000</f>
      </c>
      <c r="N64" s="13">
        <f>Inputs!B9</f>
      </c>
      <c r="O64" s="13">
        <f>MAX(1,SQRT(L64/MAX(M64*MAX(N64,0.01)/(1+Inputs!B11),1)))</f>
      </c>
      <c r="P64" s="13">
        <f>MIN(1,A64/12)</f>
      </c>
      <c r="Q64" s="13">
        <f>IF(Inputs!B7=1,MAX(N64,L64*(1+Inputs!B11)/MAX(M64,1)),N64+(N64*O64-N64)*P64)</f>
      </c>
      <c r="R64" s="11">
        <f>IF(Inputs!B7=1,L64*(1+Inputs!B11),M64*Q64)</f>
      </c>
      <c r="S64" s="11">
        <f>R64/(1+Inputs!B11)</f>
      </c>
      <c r="T64" s="11">
        <f>IF(Inputs!B7=1,L64,MIN(S64,L64))</f>
      </c>
      <c r="U64" s="11">
        <f>IF(Inputs!B19=1,MAX(0,T64-J64),0)</f>
      </c>
      <c r="V64" s="11">
        <f>T64*(1+Inputs!B11)</f>
      </c>
      <c r="W64" s="11">
        <f>V64-T64</f>
      </c>
      <c r="X64" s="11">
        <f>V64*Inputs!B13*MIN(12,Inputs!B10)/12</f>
      </c>
      <c r="Y64" s="11">
        <f>W64*Inputs!B14/12</f>
      </c>
      <c r="Z64" s="11">
        <f>J64+U64-T64+X64-Y64</f>
      </c>
      <c r="AA64" s="11">
        <f>D64+E64-I64+U64+X64-Y64</f>
      </c>
      <c r="AB64" s="11">
        <f>IF(U64&gt;0,AB63*(1+Inputs!B15/12)+U64,AB63*(1+Inputs!B15/12))</f>
      </c>
      <c r="AC64" s="9">
        <f>IF(Inputs!B21&gt;0,AA64/Inputs!B21,0)</f>
      </c>
      <c r="AD64" s="11">
        <f>G64+T64</f>
      </c>
      <c r="AE64" s="11">
        <f>H64+W64</f>
      </c>
      <c r="AF64" s="11">
        <f>AD64+AE64</f>
      </c>
      <c r="AG64" s="13">
        <f>IF(M64&gt;0,V64/M64,0)</f>
      </c>
      <c r="AH64" s="11">
        <f>AH63+U64</f>
      </c>
      <c r="AI64" s="8">
        <f>IFERROR((1+IRR(VSTACK($AJ$8:INDEX($AJ:$AJ,ROW()-1),-U64+AA64)))^12-1,0)</f>
      </c>
      <c r="AJ64" s="11">
        <f>-U64</f>
      </c>
    </row>
    <row r="65">
      <c r="A65" s="13">
        <f>A64+1</f>
      </c>
      <c r="B65" t="inlineStr" s="10">
        <is>
          <t>Month 58</t>
        </is>
      </c>
      <c r="C65" s="11">
        <f>Z64</f>
      </c>
      <c r="D65" s="11">
        <f>AA64</f>
      </c>
      <c r="E65" s="11">
        <f>IF(A65&lt;=12,0,INDEX($V$8:$V$127,A65-12)*Inputs!B13*MAX(0,Inputs!B10-12)/12)</f>
      </c>
      <c r="F65" s="11">
        <f>IF(A65&lt;=Inputs!B10,0,INDEX($T$8:$T$127,A65-Inputs!B10))</f>
      </c>
      <c r="G65" s="11">
        <f>AD64-F65</f>
      </c>
      <c r="H65" s="11">
        <f>AE64-IF(A65&lt;=Inputs!B10,0,INDEX($W$8:$W$127,A65-Inputs!B10))</f>
      </c>
      <c r="I65" s="11">
        <f>H65*Inputs!B14/12</f>
      </c>
      <c r="J65" s="11">
        <f>C65+E65+F65-I65</f>
      </c>
      <c r="K65" s="11">
        <f>IF(Inputs!B19=1,MAX(0,Inputs!B5*1000000000-AH64),0)</f>
      </c>
      <c r="L65" s="11">
        <f>MAX(0,J65+K65)</f>
      </c>
      <c r="M65" s="11">
        <f>Inputs!B8*1000000</f>
      </c>
      <c r="N65" s="13">
        <f>Inputs!B9</f>
      </c>
      <c r="O65" s="13">
        <f>MAX(1,SQRT(L65/MAX(M65*MAX(N65,0.01)/(1+Inputs!B11),1)))</f>
      </c>
      <c r="P65" s="13">
        <f>MIN(1,A65/12)</f>
      </c>
      <c r="Q65" s="13">
        <f>IF(Inputs!B7=1,MAX(N65,L65*(1+Inputs!B11)/MAX(M65,1)),N65+(N65*O65-N65)*P65)</f>
      </c>
      <c r="R65" s="11">
        <f>IF(Inputs!B7=1,L65*(1+Inputs!B11),M65*Q65)</f>
      </c>
      <c r="S65" s="11">
        <f>R65/(1+Inputs!B11)</f>
      </c>
      <c r="T65" s="11">
        <f>IF(Inputs!B7=1,L65,MIN(S65,L65))</f>
      </c>
      <c r="U65" s="11">
        <f>IF(Inputs!B19=1,MAX(0,T65-J65),0)</f>
      </c>
      <c r="V65" s="11">
        <f>T65*(1+Inputs!B11)</f>
      </c>
      <c r="W65" s="11">
        <f>V65-T65</f>
      </c>
      <c r="X65" s="11">
        <f>V65*Inputs!B13*MIN(12,Inputs!B10)/12</f>
      </c>
      <c r="Y65" s="11">
        <f>W65*Inputs!B14/12</f>
      </c>
      <c r="Z65" s="11">
        <f>J65+U65-T65+X65-Y65</f>
      </c>
      <c r="AA65" s="11">
        <f>D65+E65-I65+U65+X65-Y65</f>
      </c>
      <c r="AB65" s="11">
        <f>IF(U65&gt;0,AB64*(1+Inputs!B15/12)+U65,AB64*(1+Inputs!B15/12))</f>
      </c>
      <c r="AC65" s="9">
        <f>IF(Inputs!B21&gt;0,AA65/Inputs!B21,0)</f>
      </c>
      <c r="AD65" s="11">
        <f>G65+T65</f>
      </c>
      <c r="AE65" s="11">
        <f>H65+W65</f>
      </c>
      <c r="AF65" s="11">
        <f>AD65+AE65</f>
      </c>
      <c r="AG65" s="13">
        <f>IF(M65&gt;0,V65/M65,0)</f>
      </c>
      <c r="AH65" s="11">
        <f>AH64+U65</f>
      </c>
      <c r="AI65" s="8">
        <f>IFERROR((1+IRR(VSTACK($AJ$8:INDEX($AJ:$AJ,ROW()-1),-U65+AA65)))^12-1,0)</f>
      </c>
      <c r="AJ65" s="11">
        <f>-U65</f>
      </c>
    </row>
    <row r="66">
      <c r="A66" s="13">
        <f>A65+1</f>
      </c>
      <c r="B66" t="inlineStr" s="10">
        <is>
          <t>Month 59</t>
        </is>
      </c>
      <c r="C66" s="11">
        <f>Z65</f>
      </c>
      <c r="D66" s="11">
        <f>AA65</f>
      </c>
      <c r="E66" s="11">
        <f>IF(A66&lt;=12,0,INDEX($V$8:$V$127,A66-12)*Inputs!B13*MAX(0,Inputs!B10-12)/12)</f>
      </c>
      <c r="F66" s="11">
        <f>IF(A66&lt;=Inputs!B10,0,INDEX($T$8:$T$127,A66-Inputs!B10))</f>
      </c>
      <c r="G66" s="11">
        <f>AD65-F66</f>
      </c>
      <c r="H66" s="11">
        <f>AE65-IF(A66&lt;=Inputs!B10,0,INDEX($W$8:$W$127,A66-Inputs!B10))</f>
      </c>
      <c r="I66" s="11">
        <f>H66*Inputs!B14/12</f>
      </c>
      <c r="J66" s="11">
        <f>C66+E66+F66-I66</f>
      </c>
      <c r="K66" s="11">
        <f>IF(Inputs!B19=1,MAX(0,Inputs!B5*1000000000-AH65),0)</f>
      </c>
      <c r="L66" s="11">
        <f>MAX(0,J66+K66)</f>
      </c>
      <c r="M66" s="11">
        <f>Inputs!B8*1000000</f>
      </c>
      <c r="N66" s="13">
        <f>Inputs!B9</f>
      </c>
      <c r="O66" s="13">
        <f>MAX(1,SQRT(L66/MAX(M66*MAX(N66,0.01)/(1+Inputs!B11),1)))</f>
      </c>
      <c r="P66" s="13">
        <f>MIN(1,A66/12)</f>
      </c>
      <c r="Q66" s="13">
        <f>IF(Inputs!B7=1,MAX(N66,L66*(1+Inputs!B11)/MAX(M66,1)),N66+(N66*O66-N66)*P66)</f>
      </c>
      <c r="R66" s="11">
        <f>IF(Inputs!B7=1,L66*(1+Inputs!B11),M66*Q66)</f>
      </c>
      <c r="S66" s="11">
        <f>R66/(1+Inputs!B11)</f>
      </c>
      <c r="T66" s="11">
        <f>IF(Inputs!B7=1,L66,MIN(S66,L66))</f>
      </c>
      <c r="U66" s="11">
        <f>IF(Inputs!B19=1,MAX(0,T66-J66),0)</f>
      </c>
      <c r="V66" s="11">
        <f>T66*(1+Inputs!B11)</f>
      </c>
      <c r="W66" s="11">
        <f>V66-T66</f>
      </c>
      <c r="X66" s="11">
        <f>V66*Inputs!B13*MIN(12,Inputs!B10)/12</f>
      </c>
      <c r="Y66" s="11">
        <f>W66*Inputs!B14/12</f>
      </c>
      <c r="Z66" s="11">
        <f>J66+U66-T66+X66-Y66</f>
      </c>
      <c r="AA66" s="11">
        <f>D66+E66-I66+U66+X66-Y66</f>
      </c>
      <c r="AB66" s="11">
        <f>IF(U66&gt;0,AB65*(1+Inputs!B15/12)+U66,AB65*(1+Inputs!B15/12))</f>
      </c>
      <c r="AC66" s="9">
        <f>IF(Inputs!B21&gt;0,AA66/Inputs!B21,0)</f>
      </c>
      <c r="AD66" s="11">
        <f>G66+T66</f>
      </c>
      <c r="AE66" s="11">
        <f>H66+W66</f>
      </c>
      <c r="AF66" s="11">
        <f>AD66+AE66</f>
      </c>
      <c r="AG66" s="13">
        <f>IF(M66&gt;0,V66/M66,0)</f>
      </c>
      <c r="AH66" s="11">
        <f>AH65+U66</f>
      </c>
      <c r="AI66" s="8">
        <f>IFERROR((1+IRR(VSTACK($AJ$8:INDEX($AJ:$AJ,ROW()-1),-U66+AA66)))^12-1,0)</f>
      </c>
      <c r="AJ66" s="11">
        <f>-U66</f>
      </c>
    </row>
    <row r="67">
      <c r="A67" s="13">
        <f>A66+1</f>
      </c>
      <c r="B67" t="inlineStr" s="10">
        <is>
          <t>Month 60</t>
        </is>
      </c>
      <c r="C67" s="11">
        <f>Z66</f>
      </c>
      <c r="D67" s="11">
        <f>AA66</f>
      </c>
      <c r="E67" s="11">
        <f>IF(A67&lt;=12,0,INDEX($V$8:$V$127,A67-12)*Inputs!B13*MAX(0,Inputs!B10-12)/12)</f>
      </c>
      <c r="F67" s="11">
        <f>IF(A67&lt;=Inputs!B10,0,INDEX($T$8:$T$127,A67-Inputs!B10))</f>
      </c>
      <c r="G67" s="11">
        <f>AD66-F67</f>
      </c>
      <c r="H67" s="11">
        <f>AE66-IF(A67&lt;=Inputs!B10,0,INDEX($W$8:$W$127,A67-Inputs!B10))</f>
      </c>
      <c r="I67" s="11">
        <f>H67*Inputs!B14/12</f>
      </c>
      <c r="J67" s="11">
        <f>C67+E67+F67-I67</f>
      </c>
      <c r="K67" s="11">
        <f>IF(Inputs!B19=1,MAX(0,Inputs!B5*1000000000-AH66),0)</f>
      </c>
      <c r="L67" s="11">
        <f>MAX(0,J67+K67)</f>
      </c>
      <c r="M67" s="11">
        <f>Inputs!B8*1000000</f>
      </c>
      <c r="N67" s="13">
        <f>Inputs!B9</f>
      </c>
      <c r="O67" s="13">
        <f>MAX(1,SQRT(L67/MAX(M67*MAX(N67,0.01)/(1+Inputs!B11),1)))</f>
      </c>
      <c r="P67" s="13">
        <f>MIN(1,A67/12)</f>
      </c>
      <c r="Q67" s="13">
        <f>IF(Inputs!B7=1,MAX(N67,L67*(1+Inputs!B11)/MAX(M67,1)),N67+(N67*O67-N67)*P67)</f>
      </c>
      <c r="R67" s="11">
        <f>IF(Inputs!B7=1,L67*(1+Inputs!B11),M67*Q67)</f>
      </c>
      <c r="S67" s="11">
        <f>R67/(1+Inputs!B11)</f>
      </c>
      <c r="T67" s="11">
        <f>IF(Inputs!B7=1,L67,MIN(S67,L67))</f>
      </c>
      <c r="U67" s="11">
        <f>IF(Inputs!B19=1,MAX(0,T67-J67),0)</f>
      </c>
      <c r="V67" s="11">
        <f>T67*(1+Inputs!B11)</f>
      </c>
      <c r="W67" s="11">
        <f>V67-T67</f>
      </c>
      <c r="X67" s="11">
        <f>V67*Inputs!B13*MIN(12,Inputs!B10)/12</f>
      </c>
      <c r="Y67" s="11">
        <f>W67*Inputs!B14/12</f>
      </c>
      <c r="Z67" s="11">
        <f>J67+U67-T67+X67-Y67</f>
      </c>
      <c r="AA67" s="11">
        <f>D67+E67-I67+U67+X67-Y67</f>
      </c>
      <c r="AB67" s="11">
        <f>IF(U67&gt;0,AB66*(1+Inputs!B15/12)+U67,AB66*(1+Inputs!B15/12))</f>
      </c>
      <c r="AC67" s="9">
        <f>IF(Inputs!B21&gt;0,AA67/Inputs!B21,0)</f>
      </c>
      <c r="AD67" s="11">
        <f>G67+T67</f>
      </c>
      <c r="AE67" s="11">
        <f>H67+W67</f>
      </c>
      <c r="AF67" s="11">
        <f>AD67+AE67</f>
      </c>
      <c r="AG67" s="13">
        <f>IF(M67&gt;0,V67/M67,0)</f>
      </c>
      <c r="AH67" s="11">
        <f>AH66+U67</f>
      </c>
      <c r="AI67" s="8">
        <f>IFERROR((1+IRR(VSTACK($AJ$8:INDEX($AJ:$AJ,ROW()-1),-U67+AA67)))^12-1,0)</f>
      </c>
      <c r="AJ67" s="11">
        <f>-U67</f>
      </c>
    </row>
    <row r="68">
      <c r="A68" s="13">
        <f>A67+1</f>
      </c>
      <c r="B68" t="inlineStr" s="10">
        <is>
          <t>Month 61</t>
        </is>
      </c>
      <c r="C68" s="11">
        <f>Z67</f>
      </c>
      <c r="D68" s="11">
        <f>AA67</f>
      </c>
      <c r="E68" s="11">
        <f>IF(A68&lt;=12,0,INDEX($V$8:$V$127,A68-12)*Inputs!B13*MAX(0,Inputs!B10-12)/12)</f>
      </c>
      <c r="F68" s="11">
        <f>IF(A68&lt;=Inputs!B10,0,INDEX($T$8:$T$127,A68-Inputs!B10))</f>
      </c>
      <c r="G68" s="11">
        <f>AD67-F68</f>
      </c>
      <c r="H68" s="11">
        <f>AE67-IF(A68&lt;=Inputs!B10,0,INDEX($W$8:$W$127,A68-Inputs!B10))</f>
      </c>
      <c r="I68" s="11">
        <f>H68*Inputs!B14/12</f>
      </c>
      <c r="J68" s="11">
        <f>C68+E68+F68-I68</f>
      </c>
      <c r="K68" s="11">
        <f>IF(Inputs!B19=1,MAX(0,Inputs!B5*1000000000-AH67),0)</f>
      </c>
      <c r="L68" s="11">
        <f>MAX(0,J68+K68)</f>
      </c>
      <c r="M68" s="11">
        <f>Inputs!B8*1000000</f>
      </c>
      <c r="N68" s="13">
        <f>Inputs!B9</f>
      </c>
      <c r="O68" s="13">
        <f>MAX(1,SQRT(L68/MAX(M68*MAX(N68,0.01)/(1+Inputs!B11),1)))</f>
      </c>
      <c r="P68" s="13">
        <f>MIN(1,A68/12)</f>
      </c>
      <c r="Q68" s="13">
        <f>IF(Inputs!B7=1,MAX(N68,L68*(1+Inputs!B11)/MAX(M68,1)),N68+(N68*O68-N68)*P68)</f>
      </c>
      <c r="R68" s="11">
        <f>IF(Inputs!B7=1,L68*(1+Inputs!B11),M68*Q68)</f>
      </c>
      <c r="S68" s="11">
        <f>R68/(1+Inputs!B11)</f>
      </c>
      <c r="T68" s="11">
        <f>IF(Inputs!B7=1,L68,MIN(S68,L68))</f>
      </c>
      <c r="U68" s="11">
        <f>IF(Inputs!B19=1,MAX(0,T68-J68),0)</f>
      </c>
      <c r="V68" s="11">
        <f>T68*(1+Inputs!B11)</f>
      </c>
      <c r="W68" s="11">
        <f>V68-T68</f>
      </c>
      <c r="X68" s="11">
        <f>V68*Inputs!B13*MIN(12,Inputs!B10)/12</f>
      </c>
      <c r="Y68" s="11">
        <f>W68*Inputs!B14/12</f>
      </c>
      <c r="Z68" s="11">
        <f>J68+U68-T68+X68-Y68</f>
      </c>
      <c r="AA68" s="11">
        <f>D68+E68-I68+U68+X68-Y68</f>
      </c>
      <c r="AB68" s="11">
        <f>IF(U68&gt;0,AB67*(1+Inputs!B15/12)+U68,AB67*(1+Inputs!B15/12))</f>
      </c>
      <c r="AC68" s="9">
        <f>IF(Inputs!B21&gt;0,AA68/Inputs!B21,0)</f>
      </c>
      <c r="AD68" s="11">
        <f>G68+T68</f>
      </c>
      <c r="AE68" s="11">
        <f>H68+W68</f>
      </c>
      <c r="AF68" s="11">
        <f>AD68+AE68</f>
      </c>
      <c r="AG68" s="13">
        <f>IF(M68&gt;0,V68/M68,0)</f>
      </c>
      <c r="AH68" s="11">
        <f>AH67+U68</f>
      </c>
      <c r="AI68" s="8">
        <f>IFERROR((1+IRR(VSTACK($AJ$8:INDEX($AJ:$AJ,ROW()-1),-U68+AA68)))^12-1,0)</f>
      </c>
      <c r="AJ68" s="11">
        <f>-U68</f>
      </c>
    </row>
    <row r="69">
      <c r="A69" s="13">
        <f>A68+1</f>
      </c>
      <c r="B69" t="inlineStr" s="10">
        <is>
          <t>Month 62</t>
        </is>
      </c>
      <c r="C69" s="11">
        <f>Z68</f>
      </c>
      <c r="D69" s="11">
        <f>AA68</f>
      </c>
      <c r="E69" s="11">
        <f>IF(A69&lt;=12,0,INDEX($V$8:$V$127,A69-12)*Inputs!B13*MAX(0,Inputs!B10-12)/12)</f>
      </c>
      <c r="F69" s="11">
        <f>IF(A69&lt;=Inputs!B10,0,INDEX($T$8:$T$127,A69-Inputs!B10))</f>
      </c>
      <c r="G69" s="11">
        <f>AD68-F69</f>
      </c>
      <c r="H69" s="11">
        <f>AE68-IF(A69&lt;=Inputs!B10,0,INDEX($W$8:$W$127,A69-Inputs!B10))</f>
      </c>
      <c r="I69" s="11">
        <f>H69*Inputs!B14/12</f>
      </c>
      <c r="J69" s="11">
        <f>C69+E69+F69-I69</f>
      </c>
      <c r="K69" s="11">
        <f>IF(Inputs!B19=1,MAX(0,Inputs!B5*1000000000-AH68),0)</f>
      </c>
      <c r="L69" s="11">
        <f>MAX(0,J69+K69)</f>
      </c>
      <c r="M69" s="11">
        <f>Inputs!B8*1000000</f>
      </c>
      <c r="N69" s="13">
        <f>Inputs!B9</f>
      </c>
      <c r="O69" s="13">
        <f>MAX(1,SQRT(L69/MAX(M69*MAX(N69,0.01)/(1+Inputs!B11),1)))</f>
      </c>
      <c r="P69" s="13">
        <f>MIN(1,A69/12)</f>
      </c>
      <c r="Q69" s="13">
        <f>IF(Inputs!B7=1,MAX(N69,L69*(1+Inputs!B11)/MAX(M69,1)),N69+(N69*O69-N69)*P69)</f>
      </c>
      <c r="R69" s="11">
        <f>IF(Inputs!B7=1,L69*(1+Inputs!B11),M69*Q69)</f>
      </c>
      <c r="S69" s="11">
        <f>R69/(1+Inputs!B11)</f>
      </c>
      <c r="T69" s="11">
        <f>IF(Inputs!B7=1,L69,MIN(S69,L69))</f>
      </c>
      <c r="U69" s="11">
        <f>IF(Inputs!B19=1,MAX(0,T69-J69),0)</f>
      </c>
      <c r="V69" s="11">
        <f>T69*(1+Inputs!B11)</f>
      </c>
      <c r="W69" s="11">
        <f>V69-T69</f>
      </c>
      <c r="X69" s="11">
        <f>V69*Inputs!B13*MIN(12,Inputs!B10)/12</f>
      </c>
      <c r="Y69" s="11">
        <f>W69*Inputs!B14/12</f>
      </c>
      <c r="Z69" s="11">
        <f>J69+U69-T69+X69-Y69</f>
      </c>
      <c r="AA69" s="11">
        <f>D69+E69-I69+U69+X69-Y69</f>
      </c>
      <c r="AB69" s="11">
        <f>IF(U69&gt;0,AB68*(1+Inputs!B15/12)+U69,AB68*(1+Inputs!B15/12))</f>
      </c>
      <c r="AC69" s="9">
        <f>IF(Inputs!B21&gt;0,AA69/Inputs!B21,0)</f>
      </c>
      <c r="AD69" s="11">
        <f>G69+T69</f>
      </c>
      <c r="AE69" s="11">
        <f>H69+W69</f>
      </c>
      <c r="AF69" s="11">
        <f>AD69+AE69</f>
      </c>
      <c r="AG69" s="13">
        <f>IF(M69&gt;0,V69/M69,0)</f>
      </c>
      <c r="AH69" s="11">
        <f>AH68+U69</f>
      </c>
      <c r="AI69" s="8">
        <f>IFERROR((1+IRR(VSTACK($AJ$8:INDEX($AJ:$AJ,ROW()-1),-U69+AA69)))^12-1,0)</f>
      </c>
      <c r="AJ69" s="11">
        <f>-U69</f>
      </c>
    </row>
    <row r="70">
      <c r="A70" s="13">
        <f>A69+1</f>
      </c>
      <c r="B70" t="inlineStr" s="10">
        <is>
          <t>Month 63</t>
        </is>
      </c>
      <c r="C70" s="11">
        <f>Z69</f>
      </c>
      <c r="D70" s="11">
        <f>AA69</f>
      </c>
      <c r="E70" s="11">
        <f>IF(A70&lt;=12,0,INDEX($V$8:$V$127,A70-12)*Inputs!B13*MAX(0,Inputs!B10-12)/12)</f>
      </c>
      <c r="F70" s="11">
        <f>IF(A70&lt;=Inputs!B10,0,INDEX($T$8:$T$127,A70-Inputs!B10))</f>
      </c>
      <c r="G70" s="11">
        <f>AD69-F70</f>
      </c>
      <c r="H70" s="11">
        <f>AE69-IF(A70&lt;=Inputs!B10,0,INDEX($W$8:$W$127,A70-Inputs!B10))</f>
      </c>
      <c r="I70" s="11">
        <f>H70*Inputs!B14/12</f>
      </c>
      <c r="J70" s="11">
        <f>C70+E70+F70-I70</f>
      </c>
      <c r="K70" s="11">
        <f>IF(Inputs!B19=1,MAX(0,Inputs!B5*1000000000-AH69),0)</f>
      </c>
      <c r="L70" s="11">
        <f>MAX(0,J70+K70)</f>
      </c>
      <c r="M70" s="11">
        <f>Inputs!B8*1000000</f>
      </c>
      <c r="N70" s="13">
        <f>Inputs!B9</f>
      </c>
      <c r="O70" s="13">
        <f>MAX(1,SQRT(L70/MAX(M70*MAX(N70,0.01)/(1+Inputs!B11),1)))</f>
      </c>
      <c r="P70" s="13">
        <f>MIN(1,A70/12)</f>
      </c>
      <c r="Q70" s="13">
        <f>IF(Inputs!B7=1,MAX(N70,L70*(1+Inputs!B11)/MAX(M70,1)),N70+(N70*O70-N70)*P70)</f>
      </c>
      <c r="R70" s="11">
        <f>IF(Inputs!B7=1,L70*(1+Inputs!B11),M70*Q70)</f>
      </c>
      <c r="S70" s="11">
        <f>R70/(1+Inputs!B11)</f>
      </c>
      <c r="T70" s="11">
        <f>IF(Inputs!B7=1,L70,MIN(S70,L70))</f>
      </c>
      <c r="U70" s="11">
        <f>IF(Inputs!B19=1,MAX(0,T70-J70),0)</f>
      </c>
      <c r="V70" s="11">
        <f>T70*(1+Inputs!B11)</f>
      </c>
      <c r="W70" s="11">
        <f>V70-T70</f>
      </c>
      <c r="X70" s="11">
        <f>V70*Inputs!B13*MIN(12,Inputs!B10)/12</f>
      </c>
      <c r="Y70" s="11">
        <f>W70*Inputs!B14/12</f>
      </c>
      <c r="Z70" s="11">
        <f>J70+U70-T70+X70-Y70</f>
      </c>
      <c r="AA70" s="11">
        <f>D70+E70-I70+U70+X70-Y70</f>
      </c>
      <c r="AB70" s="11">
        <f>IF(U70&gt;0,AB69*(1+Inputs!B15/12)+U70,AB69*(1+Inputs!B15/12))</f>
      </c>
      <c r="AC70" s="9">
        <f>IF(Inputs!B21&gt;0,AA70/Inputs!B21,0)</f>
      </c>
      <c r="AD70" s="11">
        <f>G70+T70</f>
      </c>
      <c r="AE70" s="11">
        <f>H70+W70</f>
      </c>
      <c r="AF70" s="11">
        <f>AD70+AE70</f>
      </c>
      <c r="AG70" s="13">
        <f>IF(M70&gt;0,V70/M70,0)</f>
      </c>
      <c r="AH70" s="11">
        <f>AH69+U70</f>
      </c>
      <c r="AI70" s="8">
        <f>IFERROR((1+IRR(VSTACK($AJ$8:INDEX($AJ:$AJ,ROW()-1),-U70+AA70)))^12-1,0)</f>
      </c>
      <c r="AJ70" s="11">
        <f>-U70</f>
      </c>
    </row>
    <row r="71">
      <c r="A71" s="13">
        <f>A70+1</f>
      </c>
      <c r="B71" t="inlineStr" s="10">
        <is>
          <t>Month 64</t>
        </is>
      </c>
      <c r="C71" s="11">
        <f>Z70</f>
      </c>
      <c r="D71" s="11">
        <f>AA70</f>
      </c>
      <c r="E71" s="11">
        <f>IF(A71&lt;=12,0,INDEX($V$8:$V$127,A71-12)*Inputs!B13*MAX(0,Inputs!B10-12)/12)</f>
      </c>
      <c r="F71" s="11">
        <f>IF(A71&lt;=Inputs!B10,0,INDEX($T$8:$T$127,A71-Inputs!B10))</f>
      </c>
      <c r="G71" s="11">
        <f>AD70-F71</f>
      </c>
      <c r="H71" s="11">
        <f>AE70-IF(A71&lt;=Inputs!B10,0,INDEX($W$8:$W$127,A71-Inputs!B10))</f>
      </c>
      <c r="I71" s="11">
        <f>H71*Inputs!B14/12</f>
      </c>
      <c r="J71" s="11">
        <f>C71+E71+F71-I71</f>
      </c>
      <c r="K71" s="11">
        <f>IF(Inputs!B19=1,MAX(0,Inputs!B5*1000000000-AH70),0)</f>
      </c>
      <c r="L71" s="11">
        <f>MAX(0,J71+K71)</f>
      </c>
      <c r="M71" s="11">
        <f>Inputs!B8*1000000</f>
      </c>
      <c r="N71" s="13">
        <f>Inputs!B9</f>
      </c>
      <c r="O71" s="13">
        <f>MAX(1,SQRT(L71/MAX(M71*MAX(N71,0.01)/(1+Inputs!B11),1)))</f>
      </c>
      <c r="P71" s="13">
        <f>MIN(1,A71/12)</f>
      </c>
      <c r="Q71" s="13">
        <f>IF(Inputs!B7=1,MAX(N71,L71*(1+Inputs!B11)/MAX(M71,1)),N71+(N71*O71-N71)*P71)</f>
      </c>
      <c r="R71" s="11">
        <f>IF(Inputs!B7=1,L71*(1+Inputs!B11),M71*Q71)</f>
      </c>
      <c r="S71" s="11">
        <f>R71/(1+Inputs!B11)</f>
      </c>
      <c r="T71" s="11">
        <f>IF(Inputs!B7=1,L71,MIN(S71,L71))</f>
      </c>
      <c r="U71" s="11">
        <f>IF(Inputs!B19=1,MAX(0,T71-J71),0)</f>
      </c>
      <c r="V71" s="11">
        <f>T71*(1+Inputs!B11)</f>
      </c>
      <c r="W71" s="11">
        <f>V71-T71</f>
      </c>
      <c r="X71" s="11">
        <f>V71*Inputs!B13*MIN(12,Inputs!B10)/12</f>
      </c>
      <c r="Y71" s="11">
        <f>W71*Inputs!B14/12</f>
      </c>
      <c r="Z71" s="11">
        <f>J71+U71-T71+X71-Y71</f>
      </c>
      <c r="AA71" s="11">
        <f>D71+E71-I71+U71+X71-Y71</f>
      </c>
      <c r="AB71" s="11">
        <f>IF(U71&gt;0,AB70*(1+Inputs!B15/12)+U71,AB70*(1+Inputs!B15/12))</f>
      </c>
      <c r="AC71" s="9">
        <f>IF(Inputs!B21&gt;0,AA71/Inputs!B21,0)</f>
      </c>
      <c r="AD71" s="11">
        <f>G71+T71</f>
      </c>
      <c r="AE71" s="11">
        <f>H71+W71</f>
      </c>
      <c r="AF71" s="11">
        <f>AD71+AE71</f>
      </c>
      <c r="AG71" s="13">
        <f>IF(M71&gt;0,V71/M71,0)</f>
      </c>
      <c r="AH71" s="11">
        <f>AH70+U71</f>
      </c>
      <c r="AI71" s="8">
        <f>IFERROR((1+IRR(VSTACK($AJ$8:INDEX($AJ:$AJ,ROW()-1),-U71+AA71)))^12-1,0)</f>
      </c>
      <c r="AJ71" s="11">
        <f>-U71</f>
      </c>
    </row>
    <row r="72">
      <c r="A72" s="13">
        <f>A71+1</f>
      </c>
      <c r="B72" t="inlineStr" s="10">
        <is>
          <t>Month 65</t>
        </is>
      </c>
      <c r="C72" s="11">
        <f>Z71</f>
      </c>
      <c r="D72" s="11">
        <f>AA71</f>
      </c>
      <c r="E72" s="11">
        <f>IF(A72&lt;=12,0,INDEX($V$8:$V$127,A72-12)*Inputs!B13*MAX(0,Inputs!B10-12)/12)</f>
      </c>
      <c r="F72" s="11">
        <f>IF(A72&lt;=Inputs!B10,0,INDEX($T$8:$T$127,A72-Inputs!B10))</f>
      </c>
      <c r="G72" s="11">
        <f>AD71-F72</f>
      </c>
      <c r="H72" s="11">
        <f>AE71-IF(A72&lt;=Inputs!B10,0,INDEX($W$8:$W$127,A72-Inputs!B10))</f>
      </c>
      <c r="I72" s="11">
        <f>H72*Inputs!B14/12</f>
      </c>
      <c r="J72" s="11">
        <f>C72+E72+F72-I72</f>
      </c>
      <c r="K72" s="11">
        <f>IF(Inputs!B19=1,MAX(0,Inputs!B5*1000000000-AH71),0)</f>
      </c>
      <c r="L72" s="11">
        <f>MAX(0,J72+K72)</f>
      </c>
      <c r="M72" s="11">
        <f>Inputs!B8*1000000</f>
      </c>
      <c r="N72" s="13">
        <f>Inputs!B9</f>
      </c>
      <c r="O72" s="13">
        <f>MAX(1,SQRT(L72/MAX(M72*MAX(N72,0.01)/(1+Inputs!B11),1)))</f>
      </c>
      <c r="P72" s="13">
        <f>MIN(1,A72/12)</f>
      </c>
      <c r="Q72" s="13">
        <f>IF(Inputs!B7=1,MAX(N72,L72*(1+Inputs!B11)/MAX(M72,1)),N72+(N72*O72-N72)*P72)</f>
      </c>
      <c r="R72" s="11">
        <f>IF(Inputs!B7=1,L72*(1+Inputs!B11),M72*Q72)</f>
      </c>
      <c r="S72" s="11">
        <f>R72/(1+Inputs!B11)</f>
      </c>
      <c r="T72" s="11">
        <f>IF(Inputs!B7=1,L72,MIN(S72,L72))</f>
      </c>
      <c r="U72" s="11">
        <f>IF(Inputs!B19=1,MAX(0,T72-J72),0)</f>
      </c>
      <c r="V72" s="11">
        <f>T72*(1+Inputs!B11)</f>
      </c>
      <c r="W72" s="11">
        <f>V72-T72</f>
      </c>
      <c r="X72" s="11">
        <f>V72*Inputs!B13*MIN(12,Inputs!B10)/12</f>
      </c>
      <c r="Y72" s="11">
        <f>W72*Inputs!B14/12</f>
      </c>
      <c r="Z72" s="11">
        <f>J72+U72-T72+X72-Y72</f>
      </c>
      <c r="AA72" s="11">
        <f>D72+E72-I72+U72+X72-Y72</f>
      </c>
      <c r="AB72" s="11">
        <f>IF(U72&gt;0,AB71*(1+Inputs!B15/12)+U72,AB71*(1+Inputs!B15/12))</f>
      </c>
      <c r="AC72" s="9">
        <f>IF(Inputs!B21&gt;0,AA72/Inputs!B21,0)</f>
      </c>
      <c r="AD72" s="11">
        <f>G72+T72</f>
      </c>
      <c r="AE72" s="11">
        <f>H72+W72</f>
      </c>
      <c r="AF72" s="11">
        <f>AD72+AE72</f>
      </c>
      <c r="AG72" s="13">
        <f>IF(M72&gt;0,V72/M72,0)</f>
      </c>
      <c r="AH72" s="11">
        <f>AH71+U72</f>
      </c>
      <c r="AI72" s="8">
        <f>IFERROR((1+IRR(VSTACK($AJ$8:INDEX($AJ:$AJ,ROW()-1),-U72+AA72)))^12-1,0)</f>
      </c>
      <c r="AJ72" s="11">
        <f>-U72</f>
      </c>
    </row>
    <row r="73">
      <c r="A73" s="13">
        <f>A72+1</f>
      </c>
      <c r="B73" t="inlineStr" s="10">
        <is>
          <t>Month 66</t>
        </is>
      </c>
      <c r="C73" s="11">
        <f>Z72</f>
      </c>
      <c r="D73" s="11">
        <f>AA72</f>
      </c>
      <c r="E73" s="11">
        <f>IF(A73&lt;=12,0,INDEX($V$8:$V$127,A73-12)*Inputs!B13*MAX(0,Inputs!B10-12)/12)</f>
      </c>
      <c r="F73" s="11">
        <f>IF(A73&lt;=Inputs!B10,0,INDEX($T$8:$T$127,A73-Inputs!B10))</f>
      </c>
      <c r="G73" s="11">
        <f>AD72-F73</f>
      </c>
      <c r="H73" s="11">
        <f>AE72-IF(A73&lt;=Inputs!B10,0,INDEX($W$8:$W$127,A73-Inputs!B10))</f>
      </c>
      <c r="I73" s="11">
        <f>H73*Inputs!B14/12</f>
      </c>
      <c r="J73" s="11">
        <f>C73+E73+F73-I73</f>
      </c>
      <c r="K73" s="11">
        <f>IF(Inputs!B19=1,MAX(0,Inputs!B5*1000000000-AH72),0)</f>
      </c>
      <c r="L73" s="11">
        <f>MAX(0,J73+K73)</f>
      </c>
      <c r="M73" s="11">
        <f>Inputs!B8*1000000</f>
      </c>
      <c r="N73" s="13">
        <f>Inputs!B9</f>
      </c>
      <c r="O73" s="13">
        <f>MAX(1,SQRT(L73/MAX(M73*MAX(N73,0.01)/(1+Inputs!B11),1)))</f>
      </c>
      <c r="P73" s="13">
        <f>MIN(1,A73/12)</f>
      </c>
      <c r="Q73" s="13">
        <f>IF(Inputs!B7=1,MAX(N73,L73*(1+Inputs!B11)/MAX(M73,1)),N73+(N73*O73-N73)*P73)</f>
      </c>
      <c r="R73" s="11">
        <f>IF(Inputs!B7=1,L73*(1+Inputs!B11),M73*Q73)</f>
      </c>
      <c r="S73" s="11">
        <f>R73/(1+Inputs!B11)</f>
      </c>
      <c r="T73" s="11">
        <f>IF(Inputs!B7=1,L73,MIN(S73,L73))</f>
      </c>
      <c r="U73" s="11">
        <f>IF(Inputs!B19=1,MAX(0,T73-J73),0)</f>
      </c>
      <c r="V73" s="11">
        <f>T73*(1+Inputs!B11)</f>
      </c>
      <c r="W73" s="11">
        <f>V73-T73</f>
      </c>
      <c r="X73" s="11">
        <f>V73*Inputs!B13*MIN(12,Inputs!B10)/12</f>
      </c>
      <c r="Y73" s="11">
        <f>W73*Inputs!B14/12</f>
      </c>
      <c r="Z73" s="11">
        <f>J73+U73-T73+X73-Y73</f>
      </c>
      <c r="AA73" s="11">
        <f>D73+E73-I73+U73+X73-Y73</f>
      </c>
      <c r="AB73" s="11">
        <f>IF(U73&gt;0,AB72*(1+Inputs!B15/12)+U73,AB72*(1+Inputs!B15/12))</f>
      </c>
      <c r="AC73" s="9">
        <f>IF(Inputs!B21&gt;0,AA73/Inputs!B21,0)</f>
      </c>
      <c r="AD73" s="11">
        <f>G73+T73</f>
      </c>
      <c r="AE73" s="11">
        <f>H73+W73</f>
      </c>
      <c r="AF73" s="11">
        <f>AD73+AE73</f>
      </c>
      <c r="AG73" s="13">
        <f>IF(M73&gt;0,V73/M73,0)</f>
      </c>
      <c r="AH73" s="11">
        <f>AH72+U73</f>
      </c>
      <c r="AI73" s="8">
        <f>IFERROR((1+IRR(VSTACK($AJ$8:INDEX($AJ:$AJ,ROW()-1),-U73+AA73)))^12-1,0)</f>
      </c>
      <c r="AJ73" s="11">
        <f>-U73</f>
      </c>
    </row>
    <row r="74">
      <c r="A74" s="13">
        <f>A73+1</f>
      </c>
      <c r="B74" t="inlineStr" s="10">
        <is>
          <t>Month 67</t>
        </is>
      </c>
      <c r="C74" s="11">
        <f>Z73</f>
      </c>
      <c r="D74" s="11">
        <f>AA73</f>
      </c>
      <c r="E74" s="11">
        <f>IF(A74&lt;=12,0,INDEX($V$8:$V$127,A74-12)*Inputs!B13*MAX(0,Inputs!B10-12)/12)</f>
      </c>
      <c r="F74" s="11">
        <f>IF(A74&lt;=Inputs!B10,0,INDEX($T$8:$T$127,A74-Inputs!B10))</f>
      </c>
      <c r="G74" s="11">
        <f>AD73-F74</f>
      </c>
      <c r="H74" s="11">
        <f>AE73-IF(A74&lt;=Inputs!B10,0,INDEX($W$8:$W$127,A74-Inputs!B10))</f>
      </c>
      <c r="I74" s="11">
        <f>H74*Inputs!B14/12</f>
      </c>
      <c r="J74" s="11">
        <f>C74+E74+F74-I74</f>
      </c>
      <c r="K74" s="11">
        <f>IF(Inputs!B19=1,MAX(0,Inputs!B5*1000000000-AH73),0)</f>
      </c>
      <c r="L74" s="11">
        <f>MAX(0,J74+K74)</f>
      </c>
      <c r="M74" s="11">
        <f>Inputs!B8*1000000</f>
      </c>
      <c r="N74" s="13">
        <f>Inputs!B9</f>
      </c>
      <c r="O74" s="13">
        <f>MAX(1,SQRT(L74/MAX(M74*MAX(N74,0.01)/(1+Inputs!B11),1)))</f>
      </c>
      <c r="P74" s="13">
        <f>MIN(1,A74/12)</f>
      </c>
      <c r="Q74" s="13">
        <f>IF(Inputs!B7=1,MAX(N74,L74*(1+Inputs!B11)/MAX(M74,1)),N74+(N74*O74-N74)*P74)</f>
      </c>
      <c r="R74" s="11">
        <f>IF(Inputs!B7=1,L74*(1+Inputs!B11),M74*Q74)</f>
      </c>
      <c r="S74" s="11">
        <f>R74/(1+Inputs!B11)</f>
      </c>
      <c r="T74" s="11">
        <f>IF(Inputs!B7=1,L74,MIN(S74,L74))</f>
      </c>
      <c r="U74" s="11">
        <f>IF(Inputs!B19=1,MAX(0,T74-J74),0)</f>
      </c>
      <c r="V74" s="11">
        <f>T74*(1+Inputs!B11)</f>
      </c>
      <c r="W74" s="11">
        <f>V74-T74</f>
      </c>
      <c r="X74" s="11">
        <f>V74*Inputs!B13*MIN(12,Inputs!B10)/12</f>
      </c>
      <c r="Y74" s="11">
        <f>W74*Inputs!B14/12</f>
      </c>
      <c r="Z74" s="11">
        <f>J74+U74-T74+X74-Y74</f>
      </c>
      <c r="AA74" s="11">
        <f>D74+E74-I74+U74+X74-Y74</f>
      </c>
      <c r="AB74" s="11">
        <f>IF(U74&gt;0,AB73*(1+Inputs!B15/12)+U74,AB73*(1+Inputs!B15/12))</f>
      </c>
      <c r="AC74" s="9">
        <f>IF(Inputs!B21&gt;0,AA74/Inputs!B21,0)</f>
      </c>
      <c r="AD74" s="11">
        <f>G74+T74</f>
      </c>
      <c r="AE74" s="11">
        <f>H74+W74</f>
      </c>
      <c r="AF74" s="11">
        <f>AD74+AE74</f>
      </c>
      <c r="AG74" s="13">
        <f>IF(M74&gt;0,V74/M74,0)</f>
      </c>
      <c r="AH74" s="11">
        <f>AH73+U74</f>
      </c>
      <c r="AI74" s="8">
        <f>IFERROR((1+IRR(VSTACK($AJ$8:INDEX($AJ:$AJ,ROW()-1),-U74+AA74)))^12-1,0)</f>
      </c>
      <c r="AJ74" s="11">
        <f>-U74</f>
      </c>
    </row>
    <row r="75">
      <c r="A75" s="13">
        <f>A74+1</f>
      </c>
      <c r="B75" t="inlineStr" s="10">
        <is>
          <t>Month 68</t>
        </is>
      </c>
      <c r="C75" s="11">
        <f>Z74</f>
      </c>
      <c r="D75" s="11">
        <f>AA74</f>
      </c>
      <c r="E75" s="11">
        <f>IF(A75&lt;=12,0,INDEX($V$8:$V$127,A75-12)*Inputs!B13*MAX(0,Inputs!B10-12)/12)</f>
      </c>
      <c r="F75" s="11">
        <f>IF(A75&lt;=Inputs!B10,0,INDEX($T$8:$T$127,A75-Inputs!B10))</f>
      </c>
      <c r="G75" s="11">
        <f>AD74-F75</f>
      </c>
      <c r="H75" s="11">
        <f>AE74-IF(A75&lt;=Inputs!B10,0,INDEX($W$8:$W$127,A75-Inputs!B10))</f>
      </c>
      <c r="I75" s="11">
        <f>H75*Inputs!B14/12</f>
      </c>
      <c r="J75" s="11">
        <f>C75+E75+F75-I75</f>
      </c>
      <c r="K75" s="11">
        <f>IF(Inputs!B19=1,MAX(0,Inputs!B5*1000000000-AH74),0)</f>
      </c>
      <c r="L75" s="11">
        <f>MAX(0,J75+K75)</f>
      </c>
      <c r="M75" s="11">
        <f>Inputs!B8*1000000</f>
      </c>
      <c r="N75" s="13">
        <f>Inputs!B9</f>
      </c>
      <c r="O75" s="13">
        <f>MAX(1,SQRT(L75/MAX(M75*MAX(N75,0.01)/(1+Inputs!B11),1)))</f>
      </c>
      <c r="P75" s="13">
        <f>MIN(1,A75/12)</f>
      </c>
      <c r="Q75" s="13">
        <f>IF(Inputs!B7=1,MAX(N75,L75*(1+Inputs!B11)/MAX(M75,1)),N75+(N75*O75-N75)*P75)</f>
      </c>
      <c r="R75" s="11">
        <f>IF(Inputs!B7=1,L75*(1+Inputs!B11),M75*Q75)</f>
      </c>
      <c r="S75" s="11">
        <f>R75/(1+Inputs!B11)</f>
      </c>
      <c r="T75" s="11">
        <f>IF(Inputs!B7=1,L75,MIN(S75,L75))</f>
      </c>
      <c r="U75" s="11">
        <f>IF(Inputs!B19=1,MAX(0,T75-J75),0)</f>
      </c>
      <c r="V75" s="11">
        <f>T75*(1+Inputs!B11)</f>
      </c>
      <c r="W75" s="11">
        <f>V75-T75</f>
      </c>
      <c r="X75" s="11">
        <f>V75*Inputs!B13*MIN(12,Inputs!B10)/12</f>
      </c>
      <c r="Y75" s="11">
        <f>W75*Inputs!B14/12</f>
      </c>
      <c r="Z75" s="11">
        <f>J75+U75-T75+X75-Y75</f>
      </c>
      <c r="AA75" s="11">
        <f>D75+E75-I75+U75+X75-Y75</f>
      </c>
      <c r="AB75" s="11">
        <f>IF(U75&gt;0,AB74*(1+Inputs!B15/12)+U75,AB74*(1+Inputs!B15/12))</f>
      </c>
      <c r="AC75" s="9">
        <f>IF(Inputs!B21&gt;0,AA75/Inputs!B21,0)</f>
      </c>
      <c r="AD75" s="11">
        <f>G75+T75</f>
      </c>
      <c r="AE75" s="11">
        <f>H75+W75</f>
      </c>
      <c r="AF75" s="11">
        <f>AD75+AE75</f>
      </c>
      <c r="AG75" s="13">
        <f>IF(M75&gt;0,V75/M75,0)</f>
      </c>
      <c r="AH75" s="11">
        <f>AH74+U75</f>
      </c>
      <c r="AI75" s="8">
        <f>IFERROR((1+IRR(VSTACK($AJ$8:INDEX($AJ:$AJ,ROW()-1),-U75+AA75)))^12-1,0)</f>
      </c>
      <c r="AJ75" s="11">
        <f>-U75</f>
      </c>
    </row>
    <row r="76">
      <c r="A76" s="13">
        <f>A75+1</f>
      </c>
      <c r="B76" t="inlineStr" s="10">
        <is>
          <t>Month 69</t>
        </is>
      </c>
      <c r="C76" s="11">
        <f>Z75</f>
      </c>
      <c r="D76" s="11">
        <f>AA75</f>
      </c>
      <c r="E76" s="11">
        <f>IF(A76&lt;=12,0,INDEX($V$8:$V$127,A76-12)*Inputs!B13*MAX(0,Inputs!B10-12)/12)</f>
      </c>
      <c r="F76" s="11">
        <f>IF(A76&lt;=Inputs!B10,0,INDEX($T$8:$T$127,A76-Inputs!B10))</f>
      </c>
      <c r="G76" s="11">
        <f>AD75-F76</f>
      </c>
      <c r="H76" s="11">
        <f>AE75-IF(A76&lt;=Inputs!B10,0,INDEX($W$8:$W$127,A76-Inputs!B10))</f>
      </c>
      <c r="I76" s="11">
        <f>H76*Inputs!B14/12</f>
      </c>
      <c r="J76" s="11">
        <f>C76+E76+F76-I76</f>
      </c>
      <c r="K76" s="11">
        <f>IF(Inputs!B19=1,MAX(0,Inputs!B5*1000000000-AH75),0)</f>
      </c>
      <c r="L76" s="11">
        <f>MAX(0,J76+K76)</f>
      </c>
      <c r="M76" s="11">
        <f>Inputs!B8*1000000</f>
      </c>
      <c r="N76" s="13">
        <f>Inputs!B9</f>
      </c>
      <c r="O76" s="13">
        <f>MAX(1,SQRT(L76/MAX(M76*MAX(N76,0.01)/(1+Inputs!B11),1)))</f>
      </c>
      <c r="P76" s="13">
        <f>MIN(1,A76/12)</f>
      </c>
      <c r="Q76" s="13">
        <f>IF(Inputs!B7=1,MAX(N76,L76*(1+Inputs!B11)/MAX(M76,1)),N76+(N76*O76-N76)*P76)</f>
      </c>
      <c r="R76" s="11">
        <f>IF(Inputs!B7=1,L76*(1+Inputs!B11),M76*Q76)</f>
      </c>
      <c r="S76" s="11">
        <f>R76/(1+Inputs!B11)</f>
      </c>
      <c r="T76" s="11">
        <f>IF(Inputs!B7=1,L76,MIN(S76,L76))</f>
      </c>
      <c r="U76" s="11">
        <f>IF(Inputs!B19=1,MAX(0,T76-J76),0)</f>
      </c>
      <c r="V76" s="11">
        <f>T76*(1+Inputs!B11)</f>
      </c>
      <c r="W76" s="11">
        <f>V76-T76</f>
      </c>
      <c r="X76" s="11">
        <f>V76*Inputs!B13*MIN(12,Inputs!B10)/12</f>
      </c>
      <c r="Y76" s="11">
        <f>W76*Inputs!B14/12</f>
      </c>
      <c r="Z76" s="11">
        <f>J76+U76-T76+X76-Y76</f>
      </c>
      <c r="AA76" s="11">
        <f>D76+E76-I76+U76+X76-Y76</f>
      </c>
      <c r="AB76" s="11">
        <f>IF(U76&gt;0,AB75*(1+Inputs!B15/12)+U76,AB75*(1+Inputs!B15/12))</f>
      </c>
      <c r="AC76" s="9">
        <f>IF(Inputs!B21&gt;0,AA76/Inputs!B21,0)</f>
      </c>
      <c r="AD76" s="11">
        <f>G76+T76</f>
      </c>
      <c r="AE76" s="11">
        <f>H76+W76</f>
      </c>
      <c r="AF76" s="11">
        <f>AD76+AE76</f>
      </c>
      <c r="AG76" s="13">
        <f>IF(M76&gt;0,V76/M76,0)</f>
      </c>
      <c r="AH76" s="11">
        <f>AH75+U76</f>
      </c>
      <c r="AI76" s="8">
        <f>IFERROR((1+IRR(VSTACK($AJ$8:INDEX($AJ:$AJ,ROW()-1),-U76+AA76)))^12-1,0)</f>
      </c>
      <c r="AJ76" s="11">
        <f>-U76</f>
      </c>
    </row>
    <row r="77">
      <c r="A77" s="13">
        <f>A76+1</f>
      </c>
      <c r="B77" t="inlineStr" s="10">
        <is>
          <t>Month 70</t>
        </is>
      </c>
      <c r="C77" s="11">
        <f>Z76</f>
      </c>
      <c r="D77" s="11">
        <f>AA76</f>
      </c>
      <c r="E77" s="11">
        <f>IF(A77&lt;=12,0,INDEX($V$8:$V$127,A77-12)*Inputs!B13*MAX(0,Inputs!B10-12)/12)</f>
      </c>
      <c r="F77" s="11">
        <f>IF(A77&lt;=Inputs!B10,0,INDEX($T$8:$T$127,A77-Inputs!B10))</f>
      </c>
      <c r="G77" s="11">
        <f>AD76-F77</f>
      </c>
      <c r="H77" s="11">
        <f>AE76-IF(A77&lt;=Inputs!B10,0,INDEX($W$8:$W$127,A77-Inputs!B10))</f>
      </c>
      <c r="I77" s="11">
        <f>H77*Inputs!B14/12</f>
      </c>
      <c r="J77" s="11">
        <f>C77+E77+F77-I77</f>
      </c>
      <c r="K77" s="11">
        <f>IF(Inputs!B19=1,MAX(0,Inputs!B5*1000000000-AH76),0)</f>
      </c>
      <c r="L77" s="11">
        <f>MAX(0,J77+K77)</f>
      </c>
      <c r="M77" s="11">
        <f>Inputs!B8*1000000</f>
      </c>
      <c r="N77" s="13">
        <f>Inputs!B9</f>
      </c>
      <c r="O77" s="13">
        <f>MAX(1,SQRT(L77/MAX(M77*MAX(N77,0.01)/(1+Inputs!B11),1)))</f>
      </c>
      <c r="P77" s="13">
        <f>MIN(1,A77/12)</f>
      </c>
      <c r="Q77" s="13">
        <f>IF(Inputs!B7=1,MAX(N77,L77*(1+Inputs!B11)/MAX(M77,1)),N77+(N77*O77-N77)*P77)</f>
      </c>
      <c r="R77" s="11">
        <f>IF(Inputs!B7=1,L77*(1+Inputs!B11),M77*Q77)</f>
      </c>
      <c r="S77" s="11">
        <f>R77/(1+Inputs!B11)</f>
      </c>
      <c r="T77" s="11">
        <f>IF(Inputs!B7=1,L77,MIN(S77,L77))</f>
      </c>
      <c r="U77" s="11">
        <f>IF(Inputs!B19=1,MAX(0,T77-J77),0)</f>
      </c>
      <c r="V77" s="11">
        <f>T77*(1+Inputs!B11)</f>
      </c>
      <c r="W77" s="11">
        <f>V77-T77</f>
      </c>
      <c r="X77" s="11">
        <f>V77*Inputs!B13*MIN(12,Inputs!B10)/12</f>
      </c>
      <c r="Y77" s="11">
        <f>W77*Inputs!B14/12</f>
      </c>
      <c r="Z77" s="11">
        <f>J77+U77-T77+X77-Y77</f>
      </c>
      <c r="AA77" s="11">
        <f>D77+E77-I77+U77+X77-Y77</f>
      </c>
      <c r="AB77" s="11">
        <f>IF(U77&gt;0,AB76*(1+Inputs!B15/12)+U77,AB76*(1+Inputs!B15/12))</f>
      </c>
      <c r="AC77" s="9">
        <f>IF(Inputs!B21&gt;0,AA77/Inputs!B21,0)</f>
      </c>
      <c r="AD77" s="11">
        <f>G77+T77</f>
      </c>
      <c r="AE77" s="11">
        <f>H77+W77</f>
      </c>
      <c r="AF77" s="11">
        <f>AD77+AE77</f>
      </c>
      <c r="AG77" s="13">
        <f>IF(M77&gt;0,V77/M77,0)</f>
      </c>
      <c r="AH77" s="11">
        <f>AH76+U77</f>
      </c>
      <c r="AI77" s="8">
        <f>IFERROR((1+IRR(VSTACK($AJ$8:INDEX($AJ:$AJ,ROW()-1),-U77+AA77)))^12-1,0)</f>
      </c>
      <c r="AJ77" s="11">
        <f>-U77</f>
      </c>
    </row>
    <row r="78">
      <c r="A78" s="13">
        <f>A77+1</f>
      </c>
      <c r="B78" t="inlineStr" s="10">
        <is>
          <t>Month 71</t>
        </is>
      </c>
      <c r="C78" s="11">
        <f>Z77</f>
      </c>
      <c r="D78" s="11">
        <f>AA77</f>
      </c>
      <c r="E78" s="11">
        <f>IF(A78&lt;=12,0,INDEX($V$8:$V$127,A78-12)*Inputs!B13*MAX(0,Inputs!B10-12)/12)</f>
      </c>
      <c r="F78" s="11">
        <f>IF(A78&lt;=Inputs!B10,0,INDEX($T$8:$T$127,A78-Inputs!B10))</f>
      </c>
      <c r="G78" s="11">
        <f>AD77-F78</f>
      </c>
      <c r="H78" s="11">
        <f>AE77-IF(A78&lt;=Inputs!B10,0,INDEX($W$8:$W$127,A78-Inputs!B10))</f>
      </c>
      <c r="I78" s="11">
        <f>H78*Inputs!B14/12</f>
      </c>
      <c r="J78" s="11">
        <f>C78+E78+F78-I78</f>
      </c>
      <c r="K78" s="11">
        <f>IF(Inputs!B19=1,MAX(0,Inputs!B5*1000000000-AH77),0)</f>
      </c>
      <c r="L78" s="11">
        <f>MAX(0,J78+K78)</f>
      </c>
      <c r="M78" s="11">
        <f>Inputs!B8*1000000</f>
      </c>
      <c r="N78" s="13">
        <f>Inputs!B9</f>
      </c>
      <c r="O78" s="13">
        <f>MAX(1,SQRT(L78/MAX(M78*MAX(N78,0.01)/(1+Inputs!B11),1)))</f>
      </c>
      <c r="P78" s="13">
        <f>MIN(1,A78/12)</f>
      </c>
      <c r="Q78" s="13">
        <f>IF(Inputs!B7=1,MAX(N78,L78*(1+Inputs!B11)/MAX(M78,1)),N78+(N78*O78-N78)*P78)</f>
      </c>
      <c r="R78" s="11">
        <f>IF(Inputs!B7=1,L78*(1+Inputs!B11),M78*Q78)</f>
      </c>
      <c r="S78" s="11">
        <f>R78/(1+Inputs!B11)</f>
      </c>
      <c r="T78" s="11">
        <f>IF(Inputs!B7=1,L78,MIN(S78,L78))</f>
      </c>
      <c r="U78" s="11">
        <f>IF(Inputs!B19=1,MAX(0,T78-J78),0)</f>
      </c>
      <c r="V78" s="11">
        <f>T78*(1+Inputs!B11)</f>
      </c>
      <c r="W78" s="11">
        <f>V78-T78</f>
      </c>
      <c r="X78" s="11">
        <f>V78*Inputs!B13*MIN(12,Inputs!B10)/12</f>
      </c>
      <c r="Y78" s="11">
        <f>W78*Inputs!B14/12</f>
      </c>
      <c r="Z78" s="11">
        <f>J78+U78-T78+X78-Y78</f>
      </c>
      <c r="AA78" s="11">
        <f>D78+E78-I78+U78+X78-Y78</f>
      </c>
      <c r="AB78" s="11">
        <f>IF(U78&gt;0,AB77*(1+Inputs!B15/12)+U78,AB77*(1+Inputs!B15/12))</f>
      </c>
      <c r="AC78" s="9">
        <f>IF(Inputs!B21&gt;0,AA78/Inputs!B21,0)</f>
      </c>
      <c r="AD78" s="11">
        <f>G78+T78</f>
      </c>
      <c r="AE78" s="11">
        <f>H78+W78</f>
      </c>
      <c r="AF78" s="11">
        <f>AD78+AE78</f>
      </c>
      <c r="AG78" s="13">
        <f>IF(M78&gt;0,V78/M78,0)</f>
      </c>
      <c r="AH78" s="11">
        <f>AH77+U78</f>
      </c>
      <c r="AI78" s="8">
        <f>IFERROR((1+IRR(VSTACK($AJ$8:INDEX($AJ:$AJ,ROW()-1),-U78+AA78)))^12-1,0)</f>
      </c>
      <c r="AJ78" s="11">
        <f>-U78</f>
      </c>
    </row>
    <row r="79">
      <c r="A79" s="13">
        <f>A78+1</f>
      </c>
      <c r="B79" t="inlineStr" s="10">
        <is>
          <t>Month 72</t>
        </is>
      </c>
      <c r="C79" s="11">
        <f>Z78</f>
      </c>
      <c r="D79" s="11">
        <f>AA78</f>
      </c>
      <c r="E79" s="11">
        <f>IF(A79&lt;=12,0,INDEX($V$8:$V$127,A79-12)*Inputs!B13*MAX(0,Inputs!B10-12)/12)</f>
      </c>
      <c r="F79" s="11">
        <f>IF(A79&lt;=Inputs!B10,0,INDEX($T$8:$T$127,A79-Inputs!B10))</f>
      </c>
      <c r="G79" s="11">
        <f>AD78-F79</f>
      </c>
      <c r="H79" s="11">
        <f>AE78-IF(A79&lt;=Inputs!B10,0,INDEX($W$8:$W$127,A79-Inputs!B10))</f>
      </c>
      <c r="I79" s="11">
        <f>H79*Inputs!B14/12</f>
      </c>
      <c r="J79" s="11">
        <f>C79+E79+F79-I79</f>
      </c>
      <c r="K79" s="11">
        <f>IF(Inputs!B19=1,MAX(0,Inputs!B5*1000000000-AH78),0)</f>
      </c>
      <c r="L79" s="11">
        <f>MAX(0,J79+K79)</f>
      </c>
      <c r="M79" s="11">
        <f>Inputs!B8*1000000</f>
      </c>
      <c r="N79" s="13">
        <f>Inputs!B9</f>
      </c>
      <c r="O79" s="13">
        <f>MAX(1,SQRT(L79/MAX(M79*MAX(N79,0.01)/(1+Inputs!B11),1)))</f>
      </c>
      <c r="P79" s="13">
        <f>MIN(1,A79/12)</f>
      </c>
      <c r="Q79" s="13">
        <f>IF(Inputs!B7=1,MAX(N79,L79*(1+Inputs!B11)/MAX(M79,1)),N79+(N79*O79-N79)*P79)</f>
      </c>
      <c r="R79" s="11">
        <f>IF(Inputs!B7=1,L79*(1+Inputs!B11),M79*Q79)</f>
      </c>
      <c r="S79" s="11">
        <f>R79/(1+Inputs!B11)</f>
      </c>
      <c r="T79" s="11">
        <f>IF(Inputs!B7=1,L79,MIN(S79,L79))</f>
      </c>
      <c r="U79" s="11">
        <f>IF(Inputs!B19=1,MAX(0,T79-J79),0)</f>
      </c>
      <c r="V79" s="11">
        <f>T79*(1+Inputs!B11)</f>
      </c>
      <c r="W79" s="11">
        <f>V79-T79</f>
      </c>
      <c r="X79" s="11">
        <f>V79*Inputs!B13*MIN(12,Inputs!B10)/12</f>
      </c>
      <c r="Y79" s="11">
        <f>W79*Inputs!B14/12</f>
      </c>
      <c r="Z79" s="11">
        <f>J79+U79-T79+X79-Y79</f>
      </c>
      <c r="AA79" s="11">
        <f>D79+E79-I79+U79+X79-Y79</f>
      </c>
      <c r="AB79" s="11">
        <f>IF(U79&gt;0,AB78*(1+Inputs!B15/12)+U79,AB78*(1+Inputs!B15/12))</f>
      </c>
      <c r="AC79" s="9">
        <f>IF(Inputs!B21&gt;0,AA79/Inputs!B21,0)</f>
      </c>
      <c r="AD79" s="11">
        <f>G79+T79</f>
      </c>
      <c r="AE79" s="11">
        <f>H79+W79</f>
      </c>
      <c r="AF79" s="11">
        <f>AD79+AE79</f>
      </c>
      <c r="AG79" s="13">
        <f>IF(M79&gt;0,V79/M79,0)</f>
      </c>
      <c r="AH79" s="11">
        <f>AH78+U79</f>
      </c>
      <c r="AI79" s="8">
        <f>IFERROR((1+IRR(VSTACK($AJ$8:INDEX($AJ:$AJ,ROW()-1),-U79+AA79)))^12-1,0)</f>
      </c>
      <c r="AJ79" s="11">
        <f>-U79</f>
      </c>
    </row>
    <row r="80">
      <c r="A80" s="13">
        <f>A79+1</f>
      </c>
      <c r="B80" t="inlineStr" s="10">
        <is>
          <t>Month 73</t>
        </is>
      </c>
      <c r="C80" s="11">
        <f>Z79</f>
      </c>
      <c r="D80" s="11">
        <f>AA79</f>
      </c>
      <c r="E80" s="11">
        <f>IF(A80&lt;=12,0,INDEX($V$8:$V$127,A80-12)*Inputs!B13*MAX(0,Inputs!B10-12)/12)</f>
      </c>
      <c r="F80" s="11">
        <f>IF(A80&lt;=Inputs!B10,0,INDEX($T$8:$T$127,A80-Inputs!B10))</f>
      </c>
      <c r="G80" s="11">
        <f>AD79-F80</f>
      </c>
      <c r="H80" s="11">
        <f>AE79-IF(A80&lt;=Inputs!B10,0,INDEX($W$8:$W$127,A80-Inputs!B10))</f>
      </c>
      <c r="I80" s="11">
        <f>H80*Inputs!B14/12</f>
      </c>
      <c r="J80" s="11">
        <f>C80+E80+F80-I80</f>
      </c>
      <c r="K80" s="11">
        <f>IF(Inputs!B19=1,MAX(0,Inputs!B5*1000000000-AH79),0)</f>
      </c>
      <c r="L80" s="11">
        <f>MAX(0,J80+K80)</f>
      </c>
      <c r="M80" s="11">
        <f>Inputs!B8*1000000</f>
      </c>
      <c r="N80" s="13">
        <f>Inputs!B9</f>
      </c>
      <c r="O80" s="13">
        <f>MAX(1,SQRT(L80/MAX(M80*MAX(N80,0.01)/(1+Inputs!B11),1)))</f>
      </c>
      <c r="P80" s="13">
        <f>MIN(1,A80/12)</f>
      </c>
      <c r="Q80" s="13">
        <f>IF(Inputs!B7=1,MAX(N80,L80*(1+Inputs!B11)/MAX(M80,1)),N80+(N80*O80-N80)*P80)</f>
      </c>
      <c r="R80" s="11">
        <f>IF(Inputs!B7=1,L80*(1+Inputs!B11),M80*Q80)</f>
      </c>
      <c r="S80" s="11">
        <f>R80/(1+Inputs!B11)</f>
      </c>
      <c r="T80" s="11">
        <f>IF(Inputs!B7=1,L80,MIN(S80,L80))</f>
      </c>
      <c r="U80" s="11">
        <f>IF(Inputs!B19=1,MAX(0,T80-J80),0)</f>
      </c>
      <c r="V80" s="11">
        <f>T80*(1+Inputs!B11)</f>
      </c>
      <c r="W80" s="11">
        <f>V80-T80</f>
      </c>
      <c r="X80" s="11">
        <f>V80*Inputs!B13*MIN(12,Inputs!B10)/12</f>
      </c>
      <c r="Y80" s="11">
        <f>W80*Inputs!B14/12</f>
      </c>
      <c r="Z80" s="11">
        <f>J80+U80-T80+X80-Y80</f>
      </c>
      <c r="AA80" s="11">
        <f>D80+E80-I80+U80+X80-Y80</f>
      </c>
      <c r="AB80" s="11">
        <f>IF(U80&gt;0,AB79*(1+Inputs!B15/12)+U80,AB79*(1+Inputs!B15/12))</f>
      </c>
      <c r="AC80" s="9">
        <f>IF(Inputs!B21&gt;0,AA80/Inputs!B21,0)</f>
      </c>
      <c r="AD80" s="11">
        <f>G80+T80</f>
      </c>
      <c r="AE80" s="11">
        <f>H80+W80</f>
      </c>
      <c r="AF80" s="11">
        <f>AD80+AE80</f>
      </c>
      <c r="AG80" s="13">
        <f>IF(M80&gt;0,V80/M80,0)</f>
      </c>
      <c r="AH80" s="11">
        <f>AH79+U80</f>
      </c>
      <c r="AI80" s="8">
        <f>IFERROR((1+IRR(VSTACK($AJ$8:INDEX($AJ:$AJ,ROW()-1),-U80+AA80)))^12-1,0)</f>
      </c>
      <c r="AJ80" s="11">
        <f>-U80</f>
      </c>
    </row>
    <row r="81">
      <c r="A81" s="13">
        <f>A80+1</f>
      </c>
      <c r="B81" t="inlineStr" s="10">
        <is>
          <t>Month 74</t>
        </is>
      </c>
      <c r="C81" s="11">
        <f>Z80</f>
      </c>
      <c r="D81" s="11">
        <f>AA80</f>
      </c>
      <c r="E81" s="11">
        <f>IF(A81&lt;=12,0,INDEX($V$8:$V$127,A81-12)*Inputs!B13*MAX(0,Inputs!B10-12)/12)</f>
      </c>
      <c r="F81" s="11">
        <f>IF(A81&lt;=Inputs!B10,0,INDEX($T$8:$T$127,A81-Inputs!B10))</f>
      </c>
      <c r="G81" s="11">
        <f>AD80-F81</f>
      </c>
      <c r="H81" s="11">
        <f>AE80-IF(A81&lt;=Inputs!B10,0,INDEX($W$8:$W$127,A81-Inputs!B10))</f>
      </c>
      <c r="I81" s="11">
        <f>H81*Inputs!B14/12</f>
      </c>
      <c r="J81" s="11">
        <f>C81+E81+F81-I81</f>
      </c>
      <c r="K81" s="11">
        <f>IF(Inputs!B19=1,MAX(0,Inputs!B5*1000000000-AH80),0)</f>
      </c>
      <c r="L81" s="11">
        <f>MAX(0,J81+K81)</f>
      </c>
      <c r="M81" s="11">
        <f>Inputs!B8*1000000</f>
      </c>
      <c r="N81" s="13">
        <f>Inputs!B9</f>
      </c>
      <c r="O81" s="13">
        <f>MAX(1,SQRT(L81/MAX(M81*MAX(N81,0.01)/(1+Inputs!B11),1)))</f>
      </c>
      <c r="P81" s="13">
        <f>MIN(1,A81/12)</f>
      </c>
      <c r="Q81" s="13">
        <f>IF(Inputs!B7=1,MAX(N81,L81*(1+Inputs!B11)/MAX(M81,1)),N81+(N81*O81-N81)*P81)</f>
      </c>
      <c r="R81" s="11">
        <f>IF(Inputs!B7=1,L81*(1+Inputs!B11),M81*Q81)</f>
      </c>
      <c r="S81" s="11">
        <f>R81/(1+Inputs!B11)</f>
      </c>
      <c r="T81" s="11">
        <f>IF(Inputs!B7=1,L81,MIN(S81,L81))</f>
      </c>
      <c r="U81" s="11">
        <f>IF(Inputs!B19=1,MAX(0,T81-J81),0)</f>
      </c>
      <c r="V81" s="11">
        <f>T81*(1+Inputs!B11)</f>
      </c>
      <c r="W81" s="11">
        <f>V81-T81</f>
      </c>
      <c r="X81" s="11">
        <f>V81*Inputs!B13*MIN(12,Inputs!B10)/12</f>
      </c>
      <c r="Y81" s="11">
        <f>W81*Inputs!B14/12</f>
      </c>
      <c r="Z81" s="11">
        <f>J81+U81-T81+X81-Y81</f>
      </c>
      <c r="AA81" s="11">
        <f>D81+E81-I81+U81+X81-Y81</f>
      </c>
      <c r="AB81" s="11">
        <f>IF(U81&gt;0,AB80*(1+Inputs!B15/12)+U81,AB80*(1+Inputs!B15/12))</f>
      </c>
      <c r="AC81" s="9">
        <f>IF(Inputs!B21&gt;0,AA81/Inputs!B21,0)</f>
      </c>
      <c r="AD81" s="11">
        <f>G81+T81</f>
      </c>
      <c r="AE81" s="11">
        <f>H81+W81</f>
      </c>
      <c r="AF81" s="11">
        <f>AD81+AE81</f>
      </c>
      <c r="AG81" s="13">
        <f>IF(M81&gt;0,V81/M81,0)</f>
      </c>
      <c r="AH81" s="11">
        <f>AH80+U81</f>
      </c>
      <c r="AI81" s="8">
        <f>IFERROR((1+IRR(VSTACK($AJ$8:INDEX($AJ:$AJ,ROW()-1),-U81+AA81)))^12-1,0)</f>
      </c>
      <c r="AJ81" s="11">
        <f>-U81</f>
      </c>
    </row>
    <row r="82">
      <c r="A82" s="13">
        <f>A81+1</f>
      </c>
      <c r="B82" t="inlineStr" s="10">
        <is>
          <t>Month 75</t>
        </is>
      </c>
      <c r="C82" s="11">
        <f>Z81</f>
      </c>
      <c r="D82" s="11">
        <f>AA81</f>
      </c>
      <c r="E82" s="11">
        <f>IF(A82&lt;=12,0,INDEX($V$8:$V$127,A82-12)*Inputs!B13*MAX(0,Inputs!B10-12)/12)</f>
      </c>
      <c r="F82" s="11">
        <f>IF(A82&lt;=Inputs!B10,0,INDEX($T$8:$T$127,A82-Inputs!B10))</f>
      </c>
      <c r="G82" s="11">
        <f>AD81-F82</f>
      </c>
      <c r="H82" s="11">
        <f>AE81-IF(A82&lt;=Inputs!B10,0,INDEX($W$8:$W$127,A82-Inputs!B10))</f>
      </c>
      <c r="I82" s="11">
        <f>H82*Inputs!B14/12</f>
      </c>
      <c r="J82" s="11">
        <f>C82+E82+F82-I82</f>
      </c>
      <c r="K82" s="11">
        <f>IF(Inputs!B19=1,MAX(0,Inputs!B5*1000000000-AH81),0)</f>
      </c>
      <c r="L82" s="11">
        <f>MAX(0,J82+K82)</f>
      </c>
      <c r="M82" s="11">
        <f>Inputs!B8*1000000</f>
      </c>
      <c r="N82" s="13">
        <f>Inputs!B9</f>
      </c>
      <c r="O82" s="13">
        <f>MAX(1,SQRT(L82/MAX(M82*MAX(N82,0.01)/(1+Inputs!B11),1)))</f>
      </c>
      <c r="P82" s="13">
        <f>MIN(1,A82/12)</f>
      </c>
      <c r="Q82" s="13">
        <f>IF(Inputs!B7=1,MAX(N82,L82*(1+Inputs!B11)/MAX(M82,1)),N82+(N82*O82-N82)*P82)</f>
      </c>
      <c r="R82" s="11">
        <f>IF(Inputs!B7=1,L82*(1+Inputs!B11),M82*Q82)</f>
      </c>
      <c r="S82" s="11">
        <f>R82/(1+Inputs!B11)</f>
      </c>
      <c r="T82" s="11">
        <f>IF(Inputs!B7=1,L82,MIN(S82,L82))</f>
      </c>
      <c r="U82" s="11">
        <f>IF(Inputs!B19=1,MAX(0,T82-J82),0)</f>
      </c>
      <c r="V82" s="11">
        <f>T82*(1+Inputs!B11)</f>
      </c>
      <c r="W82" s="11">
        <f>V82-T82</f>
      </c>
      <c r="X82" s="11">
        <f>V82*Inputs!B13*MIN(12,Inputs!B10)/12</f>
      </c>
      <c r="Y82" s="11">
        <f>W82*Inputs!B14/12</f>
      </c>
      <c r="Z82" s="11">
        <f>J82+U82-T82+X82-Y82</f>
      </c>
      <c r="AA82" s="11">
        <f>D82+E82-I82+U82+X82-Y82</f>
      </c>
      <c r="AB82" s="11">
        <f>IF(U82&gt;0,AB81*(1+Inputs!B15/12)+U82,AB81*(1+Inputs!B15/12))</f>
      </c>
      <c r="AC82" s="9">
        <f>IF(Inputs!B21&gt;0,AA82/Inputs!B21,0)</f>
      </c>
      <c r="AD82" s="11">
        <f>G82+T82</f>
      </c>
      <c r="AE82" s="11">
        <f>H82+W82</f>
      </c>
      <c r="AF82" s="11">
        <f>AD82+AE82</f>
      </c>
      <c r="AG82" s="13">
        <f>IF(M82&gt;0,V82/M82,0)</f>
      </c>
      <c r="AH82" s="11">
        <f>AH81+U82</f>
      </c>
      <c r="AI82" s="8">
        <f>IFERROR((1+IRR(VSTACK($AJ$8:INDEX($AJ:$AJ,ROW()-1),-U82+AA82)))^12-1,0)</f>
      </c>
      <c r="AJ82" s="11">
        <f>-U82</f>
      </c>
    </row>
    <row r="83">
      <c r="A83" s="13">
        <f>A82+1</f>
      </c>
      <c r="B83" t="inlineStr" s="10">
        <is>
          <t>Month 76</t>
        </is>
      </c>
      <c r="C83" s="11">
        <f>Z82</f>
      </c>
      <c r="D83" s="11">
        <f>AA82</f>
      </c>
      <c r="E83" s="11">
        <f>IF(A83&lt;=12,0,INDEX($V$8:$V$127,A83-12)*Inputs!B13*MAX(0,Inputs!B10-12)/12)</f>
      </c>
      <c r="F83" s="11">
        <f>IF(A83&lt;=Inputs!B10,0,INDEX($T$8:$T$127,A83-Inputs!B10))</f>
      </c>
      <c r="G83" s="11">
        <f>AD82-F83</f>
      </c>
      <c r="H83" s="11">
        <f>AE82-IF(A83&lt;=Inputs!B10,0,INDEX($W$8:$W$127,A83-Inputs!B10))</f>
      </c>
      <c r="I83" s="11">
        <f>H83*Inputs!B14/12</f>
      </c>
      <c r="J83" s="11">
        <f>C83+E83+F83-I83</f>
      </c>
      <c r="K83" s="11">
        <f>IF(Inputs!B19=1,MAX(0,Inputs!B5*1000000000-AH82),0)</f>
      </c>
      <c r="L83" s="11">
        <f>MAX(0,J83+K83)</f>
      </c>
      <c r="M83" s="11">
        <f>Inputs!B8*1000000</f>
      </c>
      <c r="N83" s="13">
        <f>Inputs!B9</f>
      </c>
      <c r="O83" s="13">
        <f>MAX(1,SQRT(L83/MAX(M83*MAX(N83,0.01)/(1+Inputs!B11),1)))</f>
      </c>
      <c r="P83" s="13">
        <f>MIN(1,A83/12)</f>
      </c>
      <c r="Q83" s="13">
        <f>IF(Inputs!B7=1,MAX(N83,L83*(1+Inputs!B11)/MAX(M83,1)),N83+(N83*O83-N83)*P83)</f>
      </c>
      <c r="R83" s="11">
        <f>IF(Inputs!B7=1,L83*(1+Inputs!B11),M83*Q83)</f>
      </c>
      <c r="S83" s="11">
        <f>R83/(1+Inputs!B11)</f>
      </c>
      <c r="T83" s="11">
        <f>IF(Inputs!B7=1,L83,MIN(S83,L83))</f>
      </c>
      <c r="U83" s="11">
        <f>IF(Inputs!B19=1,MAX(0,T83-J83),0)</f>
      </c>
      <c r="V83" s="11">
        <f>T83*(1+Inputs!B11)</f>
      </c>
      <c r="W83" s="11">
        <f>V83-T83</f>
      </c>
      <c r="X83" s="11">
        <f>V83*Inputs!B13*MIN(12,Inputs!B10)/12</f>
      </c>
      <c r="Y83" s="11">
        <f>W83*Inputs!B14/12</f>
      </c>
      <c r="Z83" s="11">
        <f>J83+U83-T83+X83-Y83</f>
      </c>
      <c r="AA83" s="11">
        <f>D83+E83-I83+U83+X83-Y83</f>
      </c>
      <c r="AB83" s="11">
        <f>IF(U83&gt;0,AB82*(1+Inputs!B15/12)+U83,AB82*(1+Inputs!B15/12))</f>
      </c>
      <c r="AC83" s="9">
        <f>IF(Inputs!B21&gt;0,AA83/Inputs!B21,0)</f>
      </c>
      <c r="AD83" s="11">
        <f>G83+T83</f>
      </c>
      <c r="AE83" s="11">
        <f>H83+W83</f>
      </c>
      <c r="AF83" s="11">
        <f>AD83+AE83</f>
      </c>
      <c r="AG83" s="13">
        <f>IF(M83&gt;0,V83/M83,0)</f>
      </c>
      <c r="AH83" s="11">
        <f>AH82+U83</f>
      </c>
      <c r="AI83" s="8">
        <f>IFERROR((1+IRR(VSTACK($AJ$8:INDEX($AJ:$AJ,ROW()-1),-U83+AA83)))^12-1,0)</f>
      </c>
      <c r="AJ83" s="11">
        <f>-U83</f>
      </c>
    </row>
    <row r="84">
      <c r="A84" s="13">
        <f>A83+1</f>
      </c>
      <c r="B84" t="inlineStr" s="10">
        <is>
          <t>Month 77</t>
        </is>
      </c>
      <c r="C84" s="11">
        <f>Z83</f>
      </c>
      <c r="D84" s="11">
        <f>AA83</f>
      </c>
      <c r="E84" s="11">
        <f>IF(A84&lt;=12,0,INDEX($V$8:$V$127,A84-12)*Inputs!B13*MAX(0,Inputs!B10-12)/12)</f>
      </c>
      <c r="F84" s="11">
        <f>IF(A84&lt;=Inputs!B10,0,INDEX($T$8:$T$127,A84-Inputs!B10))</f>
      </c>
      <c r="G84" s="11">
        <f>AD83-F84</f>
      </c>
      <c r="H84" s="11">
        <f>AE83-IF(A84&lt;=Inputs!B10,0,INDEX($W$8:$W$127,A84-Inputs!B10))</f>
      </c>
      <c r="I84" s="11">
        <f>H84*Inputs!B14/12</f>
      </c>
      <c r="J84" s="11">
        <f>C84+E84+F84-I84</f>
      </c>
      <c r="K84" s="11">
        <f>IF(Inputs!B19=1,MAX(0,Inputs!B5*1000000000-AH83),0)</f>
      </c>
      <c r="L84" s="11">
        <f>MAX(0,J84+K84)</f>
      </c>
      <c r="M84" s="11">
        <f>Inputs!B8*1000000</f>
      </c>
      <c r="N84" s="13">
        <f>Inputs!B9</f>
      </c>
      <c r="O84" s="13">
        <f>MAX(1,SQRT(L84/MAX(M84*MAX(N84,0.01)/(1+Inputs!B11),1)))</f>
      </c>
      <c r="P84" s="13">
        <f>MIN(1,A84/12)</f>
      </c>
      <c r="Q84" s="13">
        <f>IF(Inputs!B7=1,MAX(N84,L84*(1+Inputs!B11)/MAX(M84,1)),N84+(N84*O84-N84)*P84)</f>
      </c>
      <c r="R84" s="11">
        <f>IF(Inputs!B7=1,L84*(1+Inputs!B11),M84*Q84)</f>
      </c>
      <c r="S84" s="11">
        <f>R84/(1+Inputs!B11)</f>
      </c>
      <c r="T84" s="11">
        <f>IF(Inputs!B7=1,L84,MIN(S84,L84))</f>
      </c>
      <c r="U84" s="11">
        <f>IF(Inputs!B19=1,MAX(0,T84-J84),0)</f>
      </c>
      <c r="V84" s="11">
        <f>T84*(1+Inputs!B11)</f>
      </c>
      <c r="W84" s="11">
        <f>V84-T84</f>
      </c>
      <c r="X84" s="11">
        <f>V84*Inputs!B13*MIN(12,Inputs!B10)/12</f>
      </c>
      <c r="Y84" s="11">
        <f>W84*Inputs!B14/12</f>
      </c>
      <c r="Z84" s="11">
        <f>J84+U84-T84+X84-Y84</f>
      </c>
      <c r="AA84" s="11">
        <f>D84+E84-I84+U84+X84-Y84</f>
      </c>
      <c r="AB84" s="11">
        <f>IF(U84&gt;0,AB83*(1+Inputs!B15/12)+U84,AB83*(1+Inputs!B15/12))</f>
      </c>
      <c r="AC84" s="9">
        <f>IF(Inputs!B21&gt;0,AA84/Inputs!B21,0)</f>
      </c>
      <c r="AD84" s="11">
        <f>G84+T84</f>
      </c>
      <c r="AE84" s="11">
        <f>H84+W84</f>
      </c>
      <c r="AF84" s="11">
        <f>AD84+AE84</f>
      </c>
      <c r="AG84" s="13">
        <f>IF(M84&gt;0,V84/M84,0)</f>
      </c>
      <c r="AH84" s="11">
        <f>AH83+U84</f>
      </c>
      <c r="AI84" s="8">
        <f>IFERROR((1+IRR(VSTACK($AJ$8:INDEX($AJ:$AJ,ROW()-1),-U84+AA84)))^12-1,0)</f>
      </c>
      <c r="AJ84" s="11">
        <f>-U84</f>
      </c>
    </row>
    <row r="85">
      <c r="A85" s="13">
        <f>A84+1</f>
      </c>
      <c r="B85" t="inlineStr" s="10">
        <is>
          <t>Month 78</t>
        </is>
      </c>
      <c r="C85" s="11">
        <f>Z84</f>
      </c>
      <c r="D85" s="11">
        <f>AA84</f>
      </c>
      <c r="E85" s="11">
        <f>IF(A85&lt;=12,0,INDEX($V$8:$V$127,A85-12)*Inputs!B13*MAX(0,Inputs!B10-12)/12)</f>
      </c>
      <c r="F85" s="11">
        <f>IF(A85&lt;=Inputs!B10,0,INDEX($T$8:$T$127,A85-Inputs!B10))</f>
      </c>
      <c r="G85" s="11">
        <f>AD84-F85</f>
      </c>
      <c r="H85" s="11">
        <f>AE84-IF(A85&lt;=Inputs!B10,0,INDEX($W$8:$W$127,A85-Inputs!B10))</f>
      </c>
      <c r="I85" s="11">
        <f>H85*Inputs!B14/12</f>
      </c>
      <c r="J85" s="11">
        <f>C85+E85+F85-I85</f>
      </c>
      <c r="K85" s="11">
        <f>IF(Inputs!B19=1,MAX(0,Inputs!B5*1000000000-AH84),0)</f>
      </c>
      <c r="L85" s="11">
        <f>MAX(0,J85+K85)</f>
      </c>
      <c r="M85" s="11">
        <f>Inputs!B8*1000000</f>
      </c>
      <c r="N85" s="13">
        <f>Inputs!B9</f>
      </c>
      <c r="O85" s="13">
        <f>MAX(1,SQRT(L85/MAX(M85*MAX(N85,0.01)/(1+Inputs!B11),1)))</f>
      </c>
      <c r="P85" s="13">
        <f>MIN(1,A85/12)</f>
      </c>
      <c r="Q85" s="13">
        <f>IF(Inputs!B7=1,MAX(N85,L85*(1+Inputs!B11)/MAX(M85,1)),N85+(N85*O85-N85)*P85)</f>
      </c>
      <c r="R85" s="11">
        <f>IF(Inputs!B7=1,L85*(1+Inputs!B11),M85*Q85)</f>
      </c>
      <c r="S85" s="11">
        <f>R85/(1+Inputs!B11)</f>
      </c>
      <c r="T85" s="11">
        <f>IF(Inputs!B7=1,L85,MIN(S85,L85))</f>
      </c>
      <c r="U85" s="11">
        <f>IF(Inputs!B19=1,MAX(0,T85-J85),0)</f>
      </c>
      <c r="V85" s="11">
        <f>T85*(1+Inputs!B11)</f>
      </c>
      <c r="W85" s="11">
        <f>V85-T85</f>
      </c>
      <c r="X85" s="11">
        <f>V85*Inputs!B13*MIN(12,Inputs!B10)/12</f>
      </c>
      <c r="Y85" s="11">
        <f>W85*Inputs!B14/12</f>
      </c>
      <c r="Z85" s="11">
        <f>J85+U85-T85+X85-Y85</f>
      </c>
      <c r="AA85" s="11">
        <f>D85+E85-I85+U85+X85-Y85</f>
      </c>
      <c r="AB85" s="11">
        <f>IF(U85&gt;0,AB84*(1+Inputs!B15/12)+U85,AB84*(1+Inputs!B15/12))</f>
      </c>
      <c r="AC85" s="9">
        <f>IF(Inputs!B21&gt;0,AA85/Inputs!B21,0)</f>
      </c>
      <c r="AD85" s="11">
        <f>G85+T85</f>
      </c>
      <c r="AE85" s="11">
        <f>H85+W85</f>
      </c>
      <c r="AF85" s="11">
        <f>AD85+AE85</f>
      </c>
      <c r="AG85" s="13">
        <f>IF(M85&gt;0,V85/M85,0)</f>
      </c>
      <c r="AH85" s="11">
        <f>AH84+U85</f>
      </c>
      <c r="AI85" s="8">
        <f>IFERROR((1+IRR(VSTACK($AJ$8:INDEX($AJ:$AJ,ROW()-1),-U85+AA85)))^12-1,0)</f>
      </c>
      <c r="AJ85" s="11">
        <f>-U85</f>
      </c>
    </row>
    <row r="86">
      <c r="A86" s="13">
        <f>A85+1</f>
      </c>
      <c r="B86" t="inlineStr" s="10">
        <is>
          <t>Month 79</t>
        </is>
      </c>
      <c r="C86" s="11">
        <f>Z85</f>
      </c>
      <c r="D86" s="11">
        <f>AA85</f>
      </c>
      <c r="E86" s="11">
        <f>IF(A86&lt;=12,0,INDEX($V$8:$V$127,A86-12)*Inputs!B13*MAX(0,Inputs!B10-12)/12)</f>
      </c>
      <c r="F86" s="11">
        <f>IF(A86&lt;=Inputs!B10,0,INDEX($T$8:$T$127,A86-Inputs!B10))</f>
      </c>
      <c r="G86" s="11">
        <f>AD85-F86</f>
      </c>
      <c r="H86" s="11">
        <f>AE85-IF(A86&lt;=Inputs!B10,0,INDEX($W$8:$W$127,A86-Inputs!B10))</f>
      </c>
      <c r="I86" s="11">
        <f>H86*Inputs!B14/12</f>
      </c>
      <c r="J86" s="11">
        <f>C86+E86+F86-I86</f>
      </c>
      <c r="K86" s="11">
        <f>IF(Inputs!B19=1,MAX(0,Inputs!B5*1000000000-AH85),0)</f>
      </c>
      <c r="L86" s="11">
        <f>MAX(0,J86+K86)</f>
      </c>
      <c r="M86" s="11">
        <f>Inputs!B8*1000000</f>
      </c>
      <c r="N86" s="13">
        <f>Inputs!B9</f>
      </c>
      <c r="O86" s="13">
        <f>MAX(1,SQRT(L86/MAX(M86*MAX(N86,0.01)/(1+Inputs!B11),1)))</f>
      </c>
      <c r="P86" s="13">
        <f>MIN(1,A86/12)</f>
      </c>
      <c r="Q86" s="13">
        <f>IF(Inputs!B7=1,MAX(N86,L86*(1+Inputs!B11)/MAX(M86,1)),N86+(N86*O86-N86)*P86)</f>
      </c>
      <c r="R86" s="11">
        <f>IF(Inputs!B7=1,L86*(1+Inputs!B11),M86*Q86)</f>
      </c>
      <c r="S86" s="11">
        <f>R86/(1+Inputs!B11)</f>
      </c>
      <c r="T86" s="11">
        <f>IF(Inputs!B7=1,L86,MIN(S86,L86))</f>
      </c>
      <c r="U86" s="11">
        <f>IF(Inputs!B19=1,MAX(0,T86-J86),0)</f>
      </c>
      <c r="V86" s="11">
        <f>T86*(1+Inputs!B11)</f>
      </c>
      <c r="W86" s="11">
        <f>V86-T86</f>
      </c>
      <c r="X86" s="11">
        <f>V86*Inputs!B13*MIN(12,Inputs!B10)/12</f>
      </c>
      <c r="Y86" s="11">
        <f>W86*Inputs!B14/12</f>
      </c>
      <c r="Z86" s="11">
        <f>J86+U86-T86+X86-Y86</f>
      </c>
      <c r="AA86" s="11">
        <f>D86+E86-I86+U86+X86-Y86</f>
      </c>
      <c r="AB86" s="11">
        <f>IF(U86&gt;0,AB85*(1+Inputs!B15/12)+U86,AB85*(1+Inputs!B15/12))</f>
      </c>
      <c r="AC86" s="9">
        <f>IF(Inputs!B21&gt;0,AA86/Inputs!B21,0)</f>
      </c>
      <c r="AD86" s="11">
        <f>G86+T86</f>
      </c>
      <c r="AE86" s="11">
        <f>H86+W86</f>
      </c>
      <c r="AF86" s="11">
        <f>AD86+AE86</f>
      </c>
      <c r="AG86" s="13">
        <f>IF(M86&gt;0,V86/M86,0)</f>
      </c>
      <c r="AH86" s="11">
        <f>AH85+U86</f>
      </c>
      <c r="AI86" s="8">
        <f>IFERROR((1+IRR(VSTACK($AJ$8:INDEX($AJ:$AJ,ROW()-1),-U86+AA86)))^12-1,0)</f>
      </c>
      <c r="AJ86" s="11">
        <f>-U86</f>
      </c>
    </row>
    <row r="87">
      <c r="A87" s="13">
        <f>A86+1</f>
      </c>
      <c r="B87" t="inlineStr" s="10">
        <is>
          <t>Month 80</t>
        </is>
      </c>
      <c r="C87" s="11">
        <f>Z86</f>
      </c>
      <c r="D87" s="11">
        <f>AA86</f>
      </c>
      <c r="E87" s="11">
        <f>IF(A87&lt;=12,0,INDEX($V$8:$V$127,A87-12)*Inputs!B13*MAX(0,Inputs!B10-12)/12)</f>
      </c>
      <c r="F87" s="11">
        <f>IF(A87&lt;=Inputs!B10,0,INDEX($T$8:$T$127,A87-Inputs!B10))</f>
      </c>
      <c r="G87" s="11">
        <f>AD86-F87</f>
      </c>
      <c r="H87" s="11">
        <f>AE86-IF(A87&lt;=Inputs!B10,0,INDEX($W$8:$W$127,A87-Inputs!B10))</f>
      </c>
      <c r="I87" s="11">
        <f>H87*Inputs!B14/12</f>
      </c>
      <c r="J87" s="11">
        <f>C87+E87+F87-I87</f>
      </c>
      <c r="K87" s="11">
        <f>IF(Inputs!B19=1,MAX(0,Inputs!B5*1000000000-AH86),0)</f>
      </c>
      <c r="L87" s="11">
        <f>MAX(0,J87+K87)</f>
      </c>
      <c r="M87" s="11">
        <f>Inputs!B8*1000000</f>
      </c>
      <c r="N87" s="13">
        <f>Inputs!B9</f>
      </c>
      <c r="O87" s="13">
        <f>MAX(1,SQRT(L87/MAX(M87*MAX(N87,0.01)/(1+Inputs!B11),1)))</f>
      </c>
      <c r="P87" s="13">
        <f>MIN(1,A87/12)</f>
      </c>
      <c r="Q87" s="13">
        <f>IF(Inputs!B7=1,MAX(N87,L87*(1+Inputs!B11)/MAX(M87,1)),N87+(N87*O87-N87)*P87)</f>
      </c>
      <c r="R87" s="11">
        <f>IF(Inputs!B7=1,L87*(1+Inputs!B11),M87*Q87)</f>
      </c>
      <c r="S87" s="11">
        <f>R87/(1+Inputs!B11)</f>
      </c>
      <c r="T87" s="11">
        <f>IF(Inputs!B7=1,L87,MIN(S87,L87))</f>
      </c>
      <c r="U87" s="11">
        <f>IF(Inputs!B19=1,MAX(0,T87-J87),0)</f>
      </c>
      <c r="V87" s="11">
        <f>T87*(1+Inputs!B11)</f>
      </c>
      <c r="W87" s="11">
        <f>V87-T87</f>
      </c>
      <c r="X87" s="11">
        <f>V87*Inputs!B13*MIN(12,Inputs!B10)/12</f>
      </c>
      <c r="Y87" s="11">
        <f>W87*Inputs!B14/12</f>
      </c>
      <c r="Z87" s="11">
        <f>J87+U87-T87+X87-Y87</f>
      </c>
      <c r="AA87" s="11">
        <f>D87+E87-I87+U87+X87-Y87</f>
      </c>
      <c r="AB87" s="11">
        <f>IF(U87&gt;0,AB86*(1+Inputs!B15/12)+U87,AB86*(1+Inputs!B15/12))</f>
      </c>
      <c r="AC87" s="9">
        <f>IF(Inputs!B21&gt;0,AA87/Inputs!B21,0)</f>
      </c>
      <c r="AD87" s="11">
        <f>G87+T87</f>
      </c>
      <c r="AE87" s="11">
        <f>H87+W87</f>
      </c>
      <c r="AF87" s="11">
        <f>AD87+AE87</f>
      </c>
      <c r="AG87" s="13">
        <f>IF(M87&gt;0,V87/M87,0)</f>
      </c>
      <c r="AH87" s="11">
        <f>AH86+U87</f>
      </c>
      <c r="AI87" s="8">
        <f>IFERROR((1+IRR(VSTACK($AJ$8:INDEX($AJ:$AJ,ROW()-1),-U87+AA87)))^12-1,0)</f>
      </c>
      <c r="AJ87" s="11">
        <f>-U87</f>
      </c>
    </row>
    <row r="88">
      <c r="A88" s="13">
        <f>A87+1</f>
      </c>
      <c r="B88" t="inlineStr" s="10">
        <is>
          <t>Month 81</t>
        </is>
      </c>
      <c r="C88" s="11">
        <f>Z87</f>
      </c>
      <c r="D88" s="11">
        <f>AA87</f>
      </c>
      <c r="E88" s="11">
        <f>IF(A88&lt;=12,0,INDEX($V$8:$V$127,A88-12)*Inputs!B13*MAX(0,Inputs!B10-12)/12)</f>
      </c>
      <c r="F88" s="11">
        <f>IF(A88&lt;=Inputs!B10,0,INDEX($T$8:$T$127,A88-Inputs!B10))</f>
      </c>
      <c r="G88" s="11">
        <f>AD87-F88</f>
      </c>
      <c r="H88" s="11">
        <f>AE87-IF(A88&lt;=Inputs!B10,0,INDEX($W$8:$W$127,A88-Inputs!B10))</f>
      </c>
      <c r="I88" s="11">
        <f>H88*Inputs!B14/12</f>
      </c>
      <c r="J88" s="11">
        <f>C88+E88+F88-I88</f>
      </c>
      <c r="K88" s="11">
        <f>IF(Inputs!B19=1,MAX(0,Inputs!B5*1000000000-AH87),0)</f>
      </c>
      <c r="L88" s="11">
        <f>MAX(0,J88+K88)</f>
      </c>
      <c r="M88" s="11">
        <f>Inputs!B8*1000000</f>
      </c>
      <c r="N88" s="13">
        <f>Inputs!B9</f>
      </c>
      <c r="O88" s="13">
        <f>MAX(1,SQRT(L88/MAX(M88*MAX(N88,0.01)/(1+Inputs!B11),1)))</f>
      </c>
      <c r="P88" s="13">
        <f>MIN(1,A88/12)</f>
      </c>
      <c r="Q88" s="13">
        <f>IF(Inputs!B7=1,MAX(N88,L88*(1+Inputs!B11)/MAX(M88,1)),N88+(N88*O88-N88)*P88)</f>
      </c>
      <c r="R88" s="11">
        <f>IF(Inputs!B7=1,L88*(1+Inputs!B11),M88*Q88)</f>
      </c>
      <c r="S88" s="11">
        <f>R88/(1+Inputs!B11)</f>
      </c>
      <c r="T88" s="11">
        <f>IF(Inputs!B7=1,L88,MIN(S88,L88))</f>
      </c>
      <c r="U88" s="11">
        <f>IF(Inputs!B19=1,MAX(0,T88-J88),0)</f>
      </c>
      <c r="V88" s="11">
        <f>T88*(1+Inputs!B11)</f>
      </c>
      <c r="W88" s="11">
        <f>V88-T88</f>
      </c>
      <c r="X88" s="11">
        <f>V88*Inputs!B13*MIN(12,Inputs!B10)/12</f>
      </c>
      <c r="Y88" s="11">
        <f>W88*Inputs!B14/12</f>
      </c>
      <c r="Z88" s="11">
        <f>J88+U88-T88+X88-Y88</f>
      </c>
      <c r="AA88" s="11">
        <f>D88+E88-I88+U88+X88-Y88</f>
      </c>
      <c r="AB88" s="11">
        <f>IF(U88&gt;0,AB87*(1+Inputs!B15/12)+U88,AB87*(1+Inputs!B15/12))</f>
      </c>
      <c r="AC88" s="9">
        <f>IF(Inputs!B21&gt;0,AA88/Inputs!B21,0)</f>
      </c>
      <c r="AD88" s="11">
        <f>G88+T88</f>
      </c>
      <c r="AE88" s="11">
        <f>H88+W88</f>
      </c>
      <c r="AF88" s="11">
        <f>AD88+AE88</f>
      </c>
      <c r="AG88" s="13">
        <f>IF(M88&gt;0,V88/M88,0)</f>
      </c>
      <c r="AH88" s="11">
        <f>AH87+U88</f>
      </c>
      <c r="AI88" s="8">
        <f>IFERROR((1+IRR(VSTACK($AJ$8:INDEX($AJ:$AJ,ROW()-1),-U88+AA88)))^12-1,0)</f>
      </c>
      <c r="AJ88" s="11">
        <f>-U88</f>
      </c>
    </row>
    <row r="89">
      <c r="A89" s="13">
        <f>A88+1</f>
      </c>
      <c r="B89" t="inlineStr" s="10">
        <is>
          <t>Month 82</t>
        </is>
      </c>
      <c r="C89" s="11">
        <f>Z88</f>
      </c>
      <c r="D89" s="11">
        <f>AA88</f>
      </c>
      <c r="E89" s="11">
        <f>IF(A89&lt;=12,0,INDEX($V$8:$V$127,A89-12)*Inputs!B13*MAX(0,Inputs!B10-12)/12)</f>
      </c>
      <c r="F89" s="11">
        <f>IF(A89&lt;=Inputs!B10,0,INDEX($T$8:$T$127,A89-Inputs!B10))</f>
      </c>
      <c r="G89" s="11">
        <f>AD88-F89</f>
      </c>
      <c r="H89" s="11">
        <f>AE88-IF(A89&lt;=Inputs!B10,0,INDEX($W$8:$W$127,A89-Inputs!B10))</f>
      </c>
      <c r="I89" s="11">
        <f>H89*Inputs!B14/12</f>
      </c>
      <c r="J89" s="11">
        <f>C89+E89+F89-I89</f>
      </c>
      <c r="K89" s="11">
        <f>IF(Inputs!B19=1,MAX(0,Inputs!B5*1000000000-AH88),0)</f>
      </c>
      <c r="L89" s="11">
        <f>MAX(0,J89+K89)</f>
      </c>
      <c r="M89" s="11">
        <f>Inputs!B8*1000000</f>
      </c>
      <c r="N89" s="13">
        <f>Inputs!B9</f>
      </c>
      <c r="O89" s="13">
        <f>MAX(1,SQRT(L89/MAX(M89*MAX(N89,0.01)/(1+Inputs!B11),1)))</f>
      </c>
      <c r="P89" s="13">
        <f>MIN(1,A89/12)</f>
      </c>
      <c r="Q89" s="13">
        <f>IF(Inputs!B7=1,MAX(N89,L89*(1+Inputs!B11)/MAX(M89,1)),N89+(N89*O89-N89)*P89)</f>
      </c>
      <c r="R89" s="11">
        <f>IF(Inputs!B7=1,L89*(1+Inputs!B11),M89*Q89)</f>
      </c>
      <c r="S89" s="11">
        <f>R89/(1+Inputs!B11)</f>
      </c>
      <c r="T89" s="11">
        <f>IF(Inputs!B7=1,L89,MIN(S89,L89))</f>
      </c>
      <c r="U89" s="11">
        <f>IF(Inputs!B19=1,MAX(0,T89-J89),0)</f>
      </c>
      <c r="V89" s="11">
        <f>T89*(1+Inputs!B11)</f>
      </c>
      <c r="W89" s="11">
        <f>V89-T89</f>
      </c>
      <c r="X89" s="11">
        <f>V89*Inputs!B13*MIN(12,Inputs!B10)/12</f>
      </c>
      <c r="Y89" s="11">
        <f>W89*Inputs!B14/12</f>
      </c>
      <c r="Z89" s="11">
        <f>J89+U89-T89+X89-Y89</f>
      </c>
      <c r="AA89" s="11">
        <f>D89+E89-I89+U89+X89-Y89</f>
      </c>
      <c r="AB89" s="11">
        <f>IF(U89&gt;0,AB88*(1+Inputs!B15/12)+U89,AB88*(1+Inputs!B15/12))</f>
      </c>
      <c r="AC89" s="9">
        <f>IF(Inputs!B21&gt;0,AA89/Inputs!B21,0)</f>
      </c>
      <c r="AD89" s="11">
        <f>G89+T89</f>
      </c>
      <c r="AE89" s="11">
        <f>H89+W89</f>
      </c>
      <c r="AF89" s="11">
        <f>AD89+AE89</f>
      </c>
      <c r="AG89" s="13">
        <f>IF(M89&gt;0,V89/M89,0)</f>
      </c>
      <c r="AH89" s="11">
        <f>AH88+U89</f>
      </c>
      <c r="AI89" s="8">
        <f>IFERROR((1+IRR(VSTACK($AJ$8:INDEX($AJ:$AJ,ROW()-1),-U89+AA89)))^12-1,0)</f>
      </c>
      <c r="AJ89" s="11">
        <f>-U89</f>
      </c>
    </row>
    <row r="90">
      <c r="A90" s="13">
        <f>A89+1</f>
      </c>
      <c r="B90" t="inlineStr" s="10">
        <is>
          <t>Month 83</t>
        </is>
      </c>
      <c r="C90" s="11">
        <f>Z89</f>
      </c>
      <c r="D90" s="11">
        <f>AA89</f>
      </c>
      <c r="E90" s="11">
        <f>IF(A90&lt;=12,0,INDEX($V$8:$V$127,A90-12)*Inputs!B13*MAX(0,Inputs!B10-12)/12)</f>
      </c>
      <c r="F90" s="11">
        <f>IF(A90&lt;=Inputs!B10,0,INDEX($T$8:$T$127,A90-Inputs!B10))</f>
      </c>
      <c r="G90" s="11">
        <f>AD89-F90</f>
      </c>
      <c r="H90" s="11">
        <f>AE89-IF(A90&lt;=Inputs!B10,0,INDEX($W$8:$W$127,A90-Inputs!B10))</f>
      </c>
      <c r="I90" s="11">
        <f>H90*Inputs!B14/12</f>
      </c>
      <c r="J90" s="11">
        <f>C90+E90+F90-I90</f>
      </c>
      <c r="K90" s="11">
        <f>IF(Inputs!B19=1,MAX(0,Inputs!B5*1000000000-AH89),0)</f>
      </c>
      <c r="L90" s="11">
        <f>MAX(0,J90+K90)</f>
      </c>
      <c r="M90" s="11">
        <f>Inputs!B8*1000000</f>
      </c>
      <c r="N90" s="13">
        <f>Inputs!B9</f>
      </c>
      <c r="O90" s="13">
        <f>MAX(1,SQRT(L90/MAX(M90*MAX(N90,0.01)/(1+Inputs!B11),1)))</f>
      </c>
      <c r="P90" s="13">
        <f>MIN(1,A90/12)</f>
      </c>
      <c r="Q90" s="13">
        <f>IF(Inputs!B7=1,MAX(N90,L90*(1+Inputs!B11)/MAX(M90,1)),N90+(N90*O90-N90)*P90)</f>
      </c>
      <c r="R90" s="11">
        <f>IF(Inputs!B7=1,L90*(1+Inputs!B11),M90*Q90)</f>
      </c>
      <c r="S90" s="11">
        <f>R90/(1+Inputs!B11)</f>
      </c>
      <c r="T90" s="11">
        <f>IF(Inputs!B7=1,L90,MIN(S90,L90))</f>
      </c>
      <c r="U90" s="11">
        <f>IF(Inputs!B19=1,MAX(0,T90-J90),0)</f>
      </c>
      <c r="V90" s="11">
        <f>T90*(1+Inputs!B11)</f>
      </c>
      <c r="W90" s="11">
        <f>V90-T90</f>
      </c>
      <c r="X90" s="11">
        <f>V90*Inputs!B13*MIN(12,Inputs!B10)/12</f>
      </c>
      <c r="Y90" s="11">
        <f>W90*Inputs!B14/12</f>
      </c>
      <c r="Z90" s="11">
        <f>J90+U90-T90+X90-Y90</f>
      </c>
      <c r="AA90" s="11">
        <f>D90+E90-I90+U90+X90-Y90</f>
      </c>
      <c r="AB90" s="11">
        <f>IF(U90&gt;0,AB89*(1+Inputs!B15/12)+U90,AB89*(1+Inputs!B15/12))</f>
      </c>
      <c r="AC90" s="9">
        <f>IF(Inputs!B21&gt;0,AA90/Inputs!B21,0)</f>
      </c>
      <c r="AD90" s="11">
        <f>G90+T90</f>
      </c>
      <c r="AE90" s="11">
        <f>H90+W90</f>
      </c>
      <c r="AF90" s="11">
        <f>AD90+AE90</f>
      </c>
      <c r="AG90" s="13">
        <f>IF(M90&gt;0,V90/M90,0)</f>
      </c>
      <c r="AH90" s="11">
        <f>AH89+U90</f>
      </c>
      <c r="AI90" s="8">
        <f>IFERROR((1+IRR(VSTACK($AJ$8:INDEX($AJ:$AJ,ROW()-1),-U90+AA90)))^12-1,0)</f>
      </c>
      <c r="AJ90" s="11">
        <f>-U90</f>
      </c>
    </row>
    <row r="91">
      <c r="A91" s="13">
        <f>A90+1</f>
      </c>
      <c r="B91" t="inlineStr" s="10">
        <is>
          <t>Month 84</t>
        </is>
      </c>
      <c r="C91" s="11">
        <f>Z90</f>
      </c>
      <c r="D91" s="11">
        <f>AA90</f>
      </c>
      <c r="E91" s="11">
        <f>IF(A91&lt;=12,0,INDEX($V$8:$V$127,A91-12)*Inputs!B13*MAX(0,Inputs!B10-12)/12)</f>
      </c>
      <c r="F91" s="11">
        <f>IF(A91&lt;=Inputs!B10,0,INDEX($T$8:$T$127,A91-Inputs!B10))</f>
      </c>
      <c r="G91" s="11">
        <f>AD90-F91</f>
      </c>
      <c r="H91" s="11">
        <f>AE90-IF(A91&lt;=Inputs!B10,0,INDEX($W$8:$W$127,A91-Inputs!B10))</f>
      </c>
      <c r="I91" s="11">
        <f>H91*Inputs!B14/12</f>
      </c>
      <c r="J91" s="11">
        <f>C91+E91+F91-I91</f>
      </c>
      <c r="K91" s="11">
        <f>IF(Inputs!B19=1,MAX(0,Inputs!B5*1000000000-AH90),0)</f>
      </c>
      <c r="L91" s="11">
        <f>MAX(0,J91+K91)</f>
      </c>
      <c r="M91" s="11">
        <f>Inputs!B8*1000000</f>
      </c>
      <c r="N91" s="13">
        <f>Inputs!B9</f>
      </c>
      <c r="O91" s="13">
        <f>MAX(1,SQRT(L91/MAX(M91*MAX(N91,0.01)/(1+Inputs!B11),1)))</f>
      </c>
      <c r="P91" s="13">
        <f>MIN(1,A91/12)</f>
      </c>
      <c r="Q91" s="13">
        <f>IF(Inputs!B7=1,MAX(N91,L91*(1+Inputs!B11)/MAX(M91,1)),N91+(N91*O91-N91)*P91)</f>
      </c>
      <c r="R91" s="11">
        <f>IF(Inputs!B7=1,L91*(1+Inputs!B11),M91*Q91)</f>
      </c>
      <c r="S91" s="11">
        <f>R91/(1+Inputs!B11)</f>
      </c>
      <c r="T91" s="11">
        <f>IF(Inputs!B7=1,L91,MIN(S91,L91))</f>
      </c>
      <c r="U91" s="11">
        <f>IF(Inputs!B19=1,MAX(0,T91-J91),0)</f>
      </c>
      <c r="V91" s="11">
        <f>T91*(1+Inputs!B11)</f>
      </c>
      <c r="W91" s="11">
        <f>V91-T91</f>
      </c>
      <c r="X91" s="11">
        <f>V91*Inputs!B13*MIN(12,Inputs!B10)/12</f>
      </c>
      <c r="Y91" s="11">
        <f>W91*Inputs!B14/12</f>
      </c>
      <c r="Z91" s="11">
        <f>J91+U91-T91+X91-Y91</f>
      </c>
      <c r="AA91" s="11">
        <f>D91+E91-I91+U91+X91-Y91</f>
      </c>
      <c r="AB91" s="11">
        <f>IF(U91&gt;0,AB90*(1+Inputs!B15/12)+U91,AB90*(1+Inputs!B15/12))</f>
      </c>
      <c r="AC91" s="9">
        <f>IF(Inputs!B21&gt;0,AA91/Inputs!B21,0)</f>
      </c>
      <c r="AD91" s="11">
        <f>G91+T91</f>
      </c>
      <c r="AE91" s="11">
        <f>H91+W91</f>
      </c>
      <c r="AF91" s="11">
        <f>AD91+AE91</f>
      </c>
      <c r="AG91" s="13">
        <f>IF(M91&gt;0,V91/M91,0)</f>
      </c>
      <c r="AH91" s="11">
        <f>AH90+U91</f>
      </c>
      <c r="AI91" s="8">
        <f>IFERROR((1+IRR(VSTACK($AJ$8:INDEX($AJ:$AJ,ROW()-1),-U91+AA91)))^12-1,0)</f>
      </c>
      <c r="AJ91" s="11">
        <f>-U91</f>
      </c>
    </row>
    <row r="92">
      <c r="A92" s="13">
        <f>A91+1</f>
      </c>
      <c r="B92" t="inlineStr" s="10">
        <is>
          <t>Month 85</t>
        </is>
      </c>
      <c r="C92" s="11">
        <f>Z91</f>
      </c>
      <c r="D92" s="11">
        <f>AA91</f>
      </c>
      <c r="E92" s="11">
        <f>IF(A92&lt;=12,0,INDEX($V$8:$V$127,A92-12)*Inputs!B13*MAX(0,Inputs!B10-12)/12)</f>
      </c>
      <c r="F92" s="11">
        <f>IF(A92&lt;=Inputs!B10,0,INDEX($T$8:$T$127,A92-Inputs!B10))</f>
      </c>
      <c r="G92" s="11">
        <f>AD91-F92</f>
      </c>
      <c r="H92" s="11">
        <f>AE91-IF(A92&lt;=Inputs!B10,0,INDEX($W$8:$W$127,A92-Inputs!B10))</f>
      </c>
      <c r="I92" s="11">
        <f>H92*Inputs!B14/12</f>
      </c>
      <c r="J92" s="11">
        <f>C92+E92+F92-I92</f>
      </c>
      <c r="K92" s="11">
        <f>IF(Inputs!B19=1,MAX(0,Inputs!B5*1000000000-AH91),0)</f>
      </c>
      <c r="L92" s="11">
        <f>MAX(0,J92+K92)</f>
      </c>
      <c r="M92" s="11">
        <f>Inputs!B8*1000000</f>
      </c>
      <c r="N92" s="13">
        <f>Inputs!B9</f>
      </c>
      <c r="O92" s="13">
        <f>MAX(1,SQRT(L92/MAX(M92*MAX(N92,0.01)/(1+Inputs!B11),1)))</f>
      </c>
      <c r="P92" s="13">
        <f>MIN(1,A92/12)</f>
      </c>
      <c r="Q92" s="13">
        <f>IF(Inputs!B7=1,MAX(N92,L92*(1+Inputs!B11)/MAX(M92,1)),N92+(N92*O92-N92)*P92)</f>
      </c>
      <c r="R92" s="11">
        <f>IF(Inputs!B7=1,L92*(1+Inputs!B11),M92*Q92)</f>
      </c>
      <c r="S92" s="11">
        <f>R92/(1+Inputs!B11)</f>
      </c>
      <c r="T92" s="11">
        <f>IF(Inputs!B7=1,L92,MIN(S92,L92))</f>
      </c>
      <c r="U92" s="11">
        <f>IF(Inputs!B19=1,MAX(0,T92-J92),0)</f>
      </c>
      <c r="V92" s="11">
        <f>T92*(1+Inputs!B11)</f>
      </c>
      <c r="W92" s="11">
        <f>V92-T92</f>
      </c>
      <c r="X92" s="11">
        <f>V92*Inputs!B13*MIN(12,Inputs!B10)/12</f>
      </c>
      <c r="Y92" s="11">
        <f>W92*Inputs!B14/12</f>
      </c>
      <c r="Z92" s="11">
        <f>J92+U92-T92+X92-Y92</f>
      </c>
      <c r="AA92" s="11">
        <f>D92+E92-I92+U92+X92-Y92</f>
      </c>
      <c r="AB92" s="11">
        <f>IF(U92&gt;0,AB91*(1+Inputs!B15/12)+U92,AB91*(1+Inputs!B15/12))</f>
      </c>
      <c r="AC92" s="9">
        <f>IF(Inputs!B21&gt;0,AA92/Inputs!B21,0)</f>
      </c>
      <c r="AD92" s="11">
        <f>G92+T92</f>
      </c>
      <c r="AE92" s="11">
        <f>H92+W92</f>
      </c>
      <c r="AF92" s="11">
        <f>AD92+AE92</f>
      </c>
      <c r="AG92" s="13">
        <f>IF(M92&gt;0,V92/M92,0)</f>
      </c>
      <c r="AH92" s="11">
        <f>AH91+U92</f>
      </c>
      <c r="AI92" s="8">
        <f>IFERROR((1+IRR(VSTACK($AJ$8:INDEX($AJ:$AJ,ROW()-1),-U92+AA92)))^12-1,0)</f>
      </c>
      <c r="AJ92" s="11">
        <f>-U92</f>
      </c>
    </row>
    <row r="93">
      <c r="A93" s="13">
        <f>A92+1</f>
      </c>
      <c r="B93" t="inlineStr" s="10">
        <is>
          <t>Month 86</t>
        </is>
      </c>
      <c r="C93" s="11">
        <f>Z92</f>
      </c>
      <c r="D93" s="11">
        <f>AA92</f>
      </c>
      <c r="E93" s="11">
        <f>IF(A93&lt;=12,0,INDEX($V$8:$V$127,A93-12)*Inputs!B13*MAX(0,Inputs!B10-12)/12)</f>
      </c>
      <c r="F93" s="11">
        <f>IF(A93&lt;=Inputs!B10,0,INDEX($T$8:$T$127,A93-Inputs!B10))</f>
      </c>
      <c r="G93" s="11">
        <f>AD92-F93</f>
      </c>
      <c r="H93" s="11">
        <f>AE92-IF(A93&lt;=Inputs!B10,0,INDEX($W$8:$W$127,A93-Inputs!B10))</f>
      </c>
      <c r="I93" s="11">
        <f>H93*Inputs!B14/12</f>
      </c>
      <c r="J93" s="11">
        <f>C93+E93+F93-I93</f>
      </c>
      <c r="K93" s="11">
        <f>IF(Inputs!B19=1,MAX(0,Inputs!B5*1000000000-AH92),0)</f>
      </c>
      <c r="L93" s="11">
        <f>MAX(0,J93+K93)</f>
      </c>
      <c r="M93" s="11">
        <f>Inputs!B8*1000000</f>
      </c>
      <c r="N93" s="13">
        <f>Inputs!B9</f>
      </c>
      <c r="O93" s="13">
        <f>MAX(1,SQRT(L93/MAX(M93*MAX(N93,0.01)/(1+Inputs!B11),1)))</f>
      </c>
      <c r="P93" s="13">
        <f>MIN(1,A93/12)</f>
      </c>
      <c r="Q93" s="13">
        <f>IF(Inputs!B7=1,MAX(N93,L93*(1+Inputs!B11)/MAX(M93,1)),N93+(N93*O93-N93)*P93)</f>
      </c>
      <c r="R93" s="11">
        <f>IF(Inputs!B7=1,L93*(1+Inputs!B11),M93*Q93)</f>
      </c>
      <c r="S93" s="11">
        <f>R93/(1+Inputs!B11)</f>
      </c>
      <c r="T93" s="11">
        <f>IF(Inputs!B7=1,L93,MIN(S93,L93))</f>
      </c>
      <c r="U93" s="11">
        <f>IF(Inputs!B19=1,MAX(0,T93-J93),0)</f>
      </c>
      <c r="V93" s="11">
        <f>T93*(1+Inputs!B11)</f>
      </c>
      <c r="W93" s="11">
        <f>V93-T93</f>
      </c>
      <c r="X93" s="11">
        <f>V93*Inputs!B13*MIN(12,Inputs!B10)/12</f>
      </c>
      <c r="Y93" s="11">
        <f>W93*Inputs!B14/12</f>
      </c>
      <c r="Z93" s="11">
        <f>J93+U93-T93+X93-Y93</f>
      </c>
      <c r="AA93" s="11">
        <f>D93+E93-I93+U93+X93-Y93</f>
      </c>
      <c r="AB93" s="11">
        <f>IF(U93&gt;0,AB92*(1+Inputs!B15/12)+U93,AB92*(1+Inputs!B15/12))</f>
      </c>
      <c r="AC93" s="9">
        <f>IF(Inputs!B21&gt;0,AA93/Inputs!B21,0)</f>
      </c>
      <c r="AD93" s="11">
        <f>G93+T93</f>
      </c>
      <c r="AE93" s="11">
        <f>H93+W93</f>
      </c>
      <c r="AF93" s="11">
        <f>AD93+AE93</f>
      </c>
      <c r="AG93" s="13">
        <f>IF(M93&gt;0,V93/M93,0)</f>
      </c>
      <c r="AH93" s="11">
        <f>AH92+U93</f>
      </c>
      <c r="AI93" s="8">
        <f>IFERROR((1+IRR(VSTACK($AJ$8:INDEX($AJ:$AJ,ROW()-1),-U93+AA93)))^12-1,0)</f>
      </c>
      <c r="AJ93" s="11">
        <f>-U93</f>
      </c>
    </row>
    <row r="94">
      <c r="A94" s="13">
        <f>A93+1</f>
      </c>
      <c r="B94" t="inlineStr" s="10">
        <is>
          <t>Month 87</t>
        </is>
      </c>
      <c r="C94" s="11">
        <f>Z93</f>
      </c>
      <c r="D94" s="11">
        <f>AA93</f>
      </c>
      <c r="E94" s="11">
        <f>IF(A94&lt;=12,0,INDEX($V$8:$V$127,A94-12)*Inputs!B13*MAX(0,Inputs!B10-12)/12)</f>
      </c>
      <c r="F94" s="11">
        <f>IF(A94&lt;=Inputs!B10,0,INDEX($T$8:$T$127,A94-Inputs!B10))</f>
      </c>
      <c r="G94" s="11">
        <f>AD93-F94</f>
      </c>
      <c r="H94" s="11">
        <f>AE93-IF(A94&lt;=Inputs!B10,0,INDEX($W$8:$W$127,A94-Inputs!B10))</f>
      </c>
      <c r="I94" s="11">
        <f>H94*Inputs!B14/12</f>
      </c>
      <c r="J94" s="11">
        <f>C94+E94+F94-I94</f>
      </c>
      <c r="K94" s="11">
        <f>IF(Inputs!B19=1,MAX(0,Inputs!B5*1000000000-AH93),0)</f>
      </c>
      <c r="L94" s="11">
        <f>MAX(0,J94+K94)</f>
      </c>
      <c r="M94" s="11">
        <f>Inputs!B8*1000000</f>
      </c>
      <c r="N94" s="13">
        <f>Inputs!B9</f>
      </c>
      <c r="O94" s="13">
        <f>MAX(1,SQRT(L94/MAX(M94*MAX(N94,0.01)/(1+Inputs!B11),1)))</f>
      </c>
      <c r="P94" s="13">
        <f>MIN(1,A94/12)</f>
      </c>
      <c r="Q94" s="13">
        <f>IF(Inputs!B7=1,MAX(N94,L94*(1+Inputs!B11)/MAX(M94,1)),N94+(N94*O94-N94)*P94)</f>
      </c>
      <c r="R94" s="11">
        <f>IF(Inputs!B7=1,L94*(1+Inputs!B11),M94*Q94)</f>
      </c>
      <c r="S94" s="11">
        <f>R94/(1+Inputs!B11)</f>
      </c>
      <c r="T94" s="11">
        <f>IF(Inputs!B7=1,L94,MIN(S94,L94))</f>
      </c>
      <c r="U94" s="11">
        <f>IF(Inputs!B19=1,MAX(0,T94-J94),0)</f>
      </c>
      <c r="V94" s="11">
        <f>T94*(1+Inputs!B11)</f>
      </c>
      <c r="W94" s="11">
        <f>V94-T94</f>
      </c>
      <c r="X94" s="11">
        <f>V94*Inputs!B13*MIN(12,Inputs!B10)/12</f>
      </c>
      <c r="Y94" s="11">
        <f>W94*Inputs!B14/12</f>
      </c>
      <c r="Z94" s="11">
        <f>J94+U94-T94+X94-Y94</f>
      </c>
      <c r="AA94" s="11">
        <f>D94+E94-I94+U94+X94-Y94</f>
      </c>
      <c r="AB94" s="11">
        <f>IF(U94&gt;0,AB93*(1+Inputs!B15/12)+U94,AB93*(1+Inputs!B15/12))</f>
      </c>
      <c r="AC94" s="9">
        <f>IF(Inputs!B21&gt;0,AA94/Inputs!B21,0)</f>
      </c>
      <c r="AD94" s="11">
        <f>G94+T94</f>
      </c>
      <c r="AE94" s="11">
        <f>H94+W94</f>
      </c>
      <c r="AF94" s="11">
        <f>AD94+AE94</f>
      </c>
      <c r="AG94" s="13">
        <f>IF(M94&gt;0,V94/M94,0)</f>
      </c>
      <c r="AH94" s="11">
        <f>AH93+U94</f>
      </c>
      <c r="AI94" s="8">
        <f>IFERROR((1+IRR(VSTACK($AJ$8:INDEX($AJ:$AJ,ROW()-1),-U94+AA94)))^12-1,0)</f>
      </c>
      <c r="AJ94" s="11">
        <f>-U94</f>
      </c>
    </row>
    <row r="95">
      <c r="A95" s="13">
        <f>A94+1</f>
      </c>
      <c r="B95" t="inlineStr" s="10">
        <is>
          <t>Month 88</t>
        </is>
      </c>
      <c r="C95" s="11">
        <f>Z94</f>
      </c>
      <c r="D95" s="11">
        <f>AA94</f>
      </c>
      <c r="E95" s="11">
        <f>IF(A95&lt;=12,0,INDEX($V$8:$V$127,A95-12)*Inputs!B13*MAX(0,Inputs!B10-12)/12)</f>
      </c>
      <c r="F95" s="11">
        <f>IF(A95&lt;=Inputs!B10,0,INDEX($T$8:$T$127,A95-Inputs!B10))</f>
      </c>
      <c r="G95" s="11">
        <f>AD94-F95</f>
      </c>
      <c r="H95" s="11">
        <f>AE94-IF(A95&lt;=Inputs!B10,0,INDEX($W$8:$W$127,A95-Inputs!B10))</f>
      </c>
      <c r="I95" s="11">
        <f>H95*Inputs!B14/12</f>
      </c>
      <c r="J95" s="11">
        <f>C95+E95+F95-I95</f>
      </c>
      <c r="K95" s="11">
        <f>IF(Inputs!B19=1,MAX(0,Inputs!B5*1000000000-AH94),0)</f>
      </c>
      <c r="L95" s="11">
        <f>MAX(0,J95+K95)</f>
      </c>
      <c r="M95" s="11">
        <f>Inputs!B8*1000000</f>
      </c>
      <c r="N95" s="13">
        <f>Inputs!B9</f>
      </c>
      <c r="O95" s="13">
        <f>MAX(1,SQRT(L95/MAX(M95*MAX(N95,0.01)/(1+Inputs!B11),1)))</f>
      </c>
      <c r="P95" s="13">
        <f>MIN(1,A95/12)</f>
      </c>
      <c r="Q95" s="13">
        <f>IF(Inputs!B7=1,MAX(N95,L95*(1+Inputs!B11)/MAX(M95,1)),N95+(N95*O95-N95)*P95)</f>
      </c>
      <c r="R95" s="11">
        <f>IF(Inputs!B7=1,L95*(1+Inputs!B11),M95*Q95)</f>
      </c>
      <c r="S95" s="11">
        <f>R95/(1+Inputs!B11)</f>
      </c>
      <c r="T95" s="11">
        <f>IF(Inputs!B7=1,L95,MIN(S95,L95))</f>
      </c>
      <c r="U95" s="11">
        <f>IF(Inputs!B19=1,MAX(0,T95-J95),0)</f>
      </c>
      <c r="V95" s="11">
        <f>T95*(1+Inputs!B11)</f>
      </c>
      <c r="W95" s="11">
        <f>V95-T95</f>
      </c>
      <c r="X95" s="11">
        <f>V95*Inputs!B13*MIN(12,Inputs!B10)/12</f>
      </c>
      <c r="Y95" s="11">
        <f>W95*Inputs!B14/12</f>
      </c>
      <c r="Z95" s="11">
        <f>J95+U95-T95+X95-Y95</f>
      </c>
      <c r="AA95" s="11">
        <f>D95+E95-I95+U95+X95-Y95</f>
      </c>
      <c r="AB95" s="11">
        <f>IF(U95&gt;0,AB94*(1+Inputs!B15/12)+U95,AB94*(1+Inputs!B15/12))</f>
      </c>
      <c r="AC95" s="9">
        <f>IF(Inputs!B21&gt;0,AA95/Inputs!B21,0)</f>
      </c>
      <c r="AD95" s="11">
        <f>G95+T95</f>
      </c>
      <c r="AE95" s="11">
        <f>H95+W95</f>
      </c>
      <c r="AF95" s="11">
        <f>AD95+AE95</f>
      </c>
      <c r="AG95" s="13">
        <f>IF(M95&gt;0,V95/M95,0)</f>
      </c>
      <c r="AH95" s="11">
        <f>AH94+U95</f>
      </c>
      <c r="AI95" s="8">
        <f>IFERROR((1+IRR(VSTACK($AJ$8:INDEX($AJ:$AJ,ROW()-1),-U95+AA95)))^12-1,0)</f>
      </c>
      <c r="AJ95" s="11">
        <f>-U95</f>
      </c>
    </row>
    <row r="96">
      <c r="A96" s="13">
        <f>A95+1</f>
      </c>
      <c r="B96" t="inlineStr" s="10">
        <is>
          <t>Month 89</t>
        </is>
      </c>
      <c r="C96" s="11">
        <f>Z95</f>
      </c>
      <c r="D96" s="11">
        <f>AA95</f>
      </c>
      <c r="E96" s="11">
        <f>IF(A96&lt;=12,0,INDEX($V$8:$V$127,A96-12)*Inputs!B13*MAX(0,Inputs!B10-12)/12)</f>
      </c>
      <c r="F96" s="11">
        <f>IF(A96&lt;=Inputs!B10,0,INDEX($T$8:$T$127,A96-Inputs!B10))</f>
      </c>
      <c r="G96" s="11">
        <f>AD95-F96</f>
      </c>
      <c r="H96" s="11">
        <f>AE95-IF(A96&lt;=Inputs!B10,0,INDEX($W$8:$W$127,A96-Inputs!B10))</f>
      </c>
      <c r="I96" s="11">
        <f>H96*Inputs!B14/12</f>
      </c>
      <c r="J96" s="11">
        <f>C96+E96+F96-I96</f>
      </c>
      <c r="K96" s="11">
        <f>IF(Inputs!B19=1,MAX(0,Inputs!B5*1000000000-AH95),0)</f>
      </c>
      <c r="L96" s="11">
        <f>MAX(0,J96+K96)</f>
      </c>
      <c r="M96" s="11">
        <f>Inputs!B8*1000000</f>
      </c>
      <c r="N96" s="13">
        <f>Inputs!B9</f>
      </c>
      <c r="O96" s="13">
        <f>MAX(1,SQRT(L96/MAX(M96*MAX(N96,0.01)/(1+Inputs!B11),1)))</f>
      </c>
      <c r="P96" s="13">
        <f>MIN(1,A96/12)</f>
      </c>
      <c r="Q96" s="13">
        <f>IF(Inputs!B7=1,MAX(N96,L96*(1+Inputs!B11)/MAX(M96,1)),N96+(N96*O96-N96)*P96)</f>
      </c>
      <c r="R96" s="11">
        <f>IF(Inputs!B7=1,L96*(1+Inputs!B11),M96*Q96)</f>
      </c>
      <c r="S96" s="11">
        <f>R96/(1+Inputs!B11)</f>
      </c>
      <c r="T96" s="11">
        <f>IF(Inputs!B7=1,L96,MIN(S96,L96))</f>
      </c>
      <c r="U96" s="11">
        <f>IF(Inputs!B19=1,MAX(0,T96-J96),0)</f>
      </c>
      <c r="V96" s="11">
        <f>T96*(1+Inputs!B11)</f>
      </c>
      <c r="W96" s="11">
        <f>V96-T96</f>
      </c>
      <c r="X96" s="11">
        <f>V96*Inputs!B13*MIN(12,Inputs!B10)/12</f>
      </c>
      <c r="Y96" s="11">
        <f>W96*Inputs!B14/12</f>
      </c>
      <c r="Z96" s="11">
        <f>J96+U96-T96+X96-Y96</f>
      </c>
      <c r="AA96" s="11">
        <f>D96+E96-I96+U96+X96-Y96</f>
      </c>
      <c r="AB96" s="11">
        <f>IF(U96&gt;0,AB95*(1+Inputs!B15/12)+U96,AB95*(1+Inputs!B15/12))</f>
      </c>
      <c r="AC96" s="9">
        <f>IF(Inputs!B21&gt;0,AA96/Inputs!B21,0)</f>
      </c>
      <c r="AD96" s="11">
        <f>G96+T96</f>
      </c>
      <c r="AE96" s="11">
        <f>H96+W96</f>
      </c>
      <c r="AF96" s="11">
        <f>AD96+AE96</f>
      </c>
      <c r="AG96" s="13">
        <f>IF(M96&gt;0,V96/M96,0)</f>
      </c>
      <c r="AH96" s="11">
        <f>AH95+U96</f>
      </c>
      <c r="AI96" s="8">
        <f>IFERROR((1+IRR(VSTACK($AJ$8:INDEX($AJ:$AJ,ROW()-1),-U96+AA96)))^12-1,0)</f>
      </c>
      <c r="AJ96" s="11">
        <f>-U96</f>
      </c>
    </row>
    <row r="97">
      <c r="A97" s="13">
        <f>A96+1</f>
      </c>
      <c r="B97" t="inlineStr" s="10">
        <is>
          <t>Month 90</t>
        </is>
      </c>
      <c r="C97" s="11">
        <f>Z96</f>
      </c>
      <c r="D97" s="11">
        <f>AA96</f>
      </c>
      <c r="E97" s="11">
        <f>IF(A97&lt;=12,0,INDEX($V$8:$V$127,A97-12)*Inputs!B13*MAX(0,Inputs!B10-12)/12)</f>
      </c>
      <c r="F97" s="11">
        <f>IF(A97&lt;=Inputs!B10,0,INDEX($T$8:$T$127,A97-Inputs!B10))</f>
      </c>
      <c r="G97" s="11">
        <f>AD96-F97</f>
      </c>
      <c r="H97" s="11">
        <f>AE96-IF(A97&lt;=Inputs!B10,0,INDEX($W$8:$W$127,A97-Inputs!B10))</f>
      </c>
      <c r="I97" s="11">
        <f>H97*Inputs!B14/12</f>
      </c>
      <c r="J97" s="11">
        <f>C97+E97+F97-I97</f>
      </c>
      <c r="K97" s="11">
        <f>IF(Inputs!B19=1,MAX(0,Inputs!B5*1000000000-AH96),0)</f>
      </c>
      <c r="L97" s="11">
        <f>MAX(0,J97+K97)</f>
      </c>
      <c r="M97" s="11">
        <f>Inputs!B8*1000000</f>
      </c>
      <c r="N97" s="13">
        <f>Inputs!B9</f>
      </c>
      <c r="O97" s="13">
        <f>MAX(1,SQRT(L97/MAX(M97*MAX(N97,0.01)/(1+Inputs!B11),1)))</f>
      </c>
      <c r="P97" s="13">
        <f>MIN(1,A97/12)</f>
      </c>
      <c r="Q97" s="13">
        <f>IF(Inputs!B7=1,MAX(N97,L97*(1+Inputs!B11)/MAX(M97,1)),N97+(N97*O97-N97)*P97)</f>
      </c>
      <c r="R97" s="11">
        <f>IF(Inputs!B7=1,L97*(1+Inputs!B11),M97*Q97)</f>
      </c>
      <c r="S97" s="11">
        <f>R97/(1+Inputs!B11)</f>
      </c>
      <c r="T97" s="11">
        <f>IF(Inputs!B7=1,L97,MIN(S97,L97))</f>
      </c>
      <c r="U97" s="11">
        <f>IF(Inputs!B19=1,MAX(0,T97-J97),0)</f>
      </c>
      <c r="V97" s="11">
        <f>T97*(1+Inputs!B11)</f>
      </c>
      <c r="W97" s="11">
        <f>V97-T97</f>
      </c>
      <c r="X97" s="11">
        <f>V97*Inputs!B13*MIN(12,Inputs!B10)/12</f>
      </c>
      <c r="Y97" s="11">
        <f>W97*Inputs!B14/12</f>
      </c>
      <c r="Z97" s="11">
        <f>J97+U97-T97+X97-Y97</f>
      </c>
      <c r="AA97" s="11">
        <f>D97+E97-I97+U97+X97-Y97</f>
      </c>
      <c r="AB97" s="11">
        <f>IF(U97&gt;0,AB96*(1+Inputs!B15/12)+U97,AB96*(1+Inputs!B15/12))</f>
      </c>
      <c r="AC97" s="9">
        <f>IF(Inputs!B21&gt;0,AA97/Inputs!B21,0)</f>
      </c>
      <c r="AD97" s="11">
        <f>G97+T97</f>
      </c>
      <c r="AE97" s="11">
        <f>H97+W97</f>
      </c>
      <c r="AF97" s="11">
        <f>AD97+AE97</f>
      </c>
      <c r="AG97" s="13">
        <f>IF(M97&gt;0,V97/M97,0)</f>
      </c>
      <c r="AH97" s="11">
        <f>AH96+U97</f>
      </c>
      <c r="AI97" s="8">
        <f>IFERROR((1+IRR(VSTACK($AJ$8:INDEX($AJ:$AJ,ROW()-1),-U97+AA97)))^12-1,0)</f>
      </c>
      <c r="AJ97" s="11">
        <f>-U97</f>
      </c>
    </row>
    <row r="98">
      <c r="A98" s="13">
        <f>A97+1</f>
      </c>
      <c r="B98" t="inlineStr" s="10">
        <is>
          <t>Month 91</t>
        </is>
      </c>
      <c r="C98" s="11">
        <f>Z97</f>
      </c>
      <c r="D98" s="11">
        <f>AA97</f>
      </c>
      <c r="E98" s="11">
        <f>IF(A98&lt;=12,0,INDEX($V$8:$V$127,A98-12)*Inputs!B13*MAX(0,Inputs!B10-12)/12)</f>
      </c>
      <c r="F98" s="11">
        <f>IF(A98&lt;=Inputs!B10,0,INDEX($T$8:$T$127,A98-Inputs!B10))</f>
      </c>
      <c r="G98" s="11">
        <f>AD97-F98</f>
      </c>
      <c r="H98" s="11">
        <f>AE97-IF(A98&lt;=Inputs!B10,0,INDEX($W$8:$W$127,A98-Inputs!B10))</f>
      </c>
      <c r="I98" s="11">
        <f>H98*Inputs!B14/12</f>
      </c>
      <c r="J98" s="11">
        <f>C98+E98+F98-I98</f>
      </c>
      <c r="K98" s="11">
        <f>IF(Inputs!B19=1,MAX(0,Inputs!B5*1000000000-AH97),0)</f>
      </c>
      <c r="L98" s="11">
        <f>MAX(0,J98+K98)</f>
      </c>
      <c r="M98" s="11">
        <f>Inputs!B8*1000000</f>
      </c>
      <c r="N98" s="13">
        <f>Inputs!B9</f>
      </c>
      <c r="O98" s="13">
        <f>MAX(1,SQRT(L98/MAX(M98*MAX(N98,0.01)/(1+Inputs!B11),1)))</f>
      </c>
      <c r="P98" s="13">
        <f>MIN(1,A98/12)</f>
      </c>
      <c r="Q98" s="13">
        <f>IF(Inputs!B7=1,MAX(N98,L98*(1+Inputs!B11)/MAX(M98,1)),N98+(N98*O98-N98)*P98)</f>
      </c>
      <c r="R98" s="11">
        <f>IF(Inputs!B7=1,L98*(1+Inputs!B11),M98*Q98)</f>
      </c>
      <c r="S98" s="11">
        <f>R98/(1+Inputs!B11)</f>
      </c>
      <c r="T98" s="11">
        <f>IF(Inputs!B7=1,L98,MIN(S98,L98))</f>
      </c>
      <c r="U98" s="11">
        <f>IF(Inputs!B19=1,MAX(0,T98-J98),0)</f>
      </c>
      <c r="V98" s="11">
        <f>T98*(1+Inputs!B11)</f>
      </c>
      <c r="W98" s="11">
        <f>V98-T98</f>
      </c>
      <c r="X98" s="11">
        <f>V98*Inputs!B13*MIN(12,Inputs!B10)/12</f>
      </c>
      <c r="Y98" s="11">
        <f>W98*Inputs!B14/12</f>
      </c>
      <c r="Z98" s="11">
        <f>J98+U98-T98+X98-Y98</f>
      </c>
      <c r="AA98" s="11">
        <f>D98+E98-I98+U98+X98-Y98</f>
      </c>
      <c r="AB98" s="11">
        <f>IF(U98&gt;0,AB97*(1+Inputs!B15/12)+U98,AB97*(1+Inputs!B15/12))</f>
      </c>
      <c r="AC98" s="9">
        <f>IF(Inputs!B21&gt;0,AA98/Inputs!B21,0)</f>
      </c>
      <c r="AD98" s="11">
        <f>G98+T98</f>
      </c>
      <c r="AE98" s="11">
        <f>H98+W98</f>
      </c>
      <c r="AF98" s="11">
        <f>AD98+AE98</f>
      </c>
      <c r="AG98" s="13">
        <f>IF(M98&gt;0,V98/M98,0)</f>
      </c>
      <c r="AH98" s="11">
        <f>AH97+U98</f>
      </c>
      <c r="AI98" s="8">
        <f>IFERROR((1+IRR(VSTACK($AJ$8:INDEX($AJ:$AJ,ROW()-1),-U98+AA98)))^12-1,0)</f>
      </c>
      <c r="AJ98" s="11">
        <f>-U98</f>
      </c>
    </row>
    <row r="99">
      <c r="A99" s="13">
        <f>A98+1</f>
      </c>
      <c r="B99" t="inlineStr" s="10">
        <is>
          <t>Month 92</t>
        </is>
      </c>
      <c r="C99" s="11">
        <f>Z98</f>
      </c>
      <c r="D99" s="11">
        <f>AA98</f>
      </c>
      <c r="E99" s="11">
        <f>IF(A99&lt;=12,0,INDEX($V$8:$V$127,A99-12)*Inputs!B13*MAX(0,Inputs!B10-12)/12)</f>
      </c>
      <c r="F99" s="11">
        <f>IF(A99&lt;=Inputs!B10,0,INDEX($T$8:$T$127,A99-Inputs!B10))</f>
      </c>
      <c r="G99" s="11">
        <f>AD98-F99</f>
      </c>
      <c r="H99" s="11">
        <f>AE98-IF(A99&lt;=Inputs!B10,0,INDEX($W$8:$W$127,A99-Inputs!B10))</f>
      </c>
      <c r="I99" s="11">
        <f>H99*Inputs!B14/12</f>
      </c>
      <c r="J99" s="11">
        <f>C99+E99+F99-I99</f>
      </c>
      <c r="K99" s="11">
        <f>IF(Inputs!B19=1,MAX(0,Inputs!B5*1000000000-AH98),0)</f>
      </c>
      <c r="L99" s="11">
        <f>MAX(0,J99+K99)</f>
      </c>
      <c r="M99" s="11">
        <f>Inputs!B8*1000000</f>
      </c>
      <c r="N99" s="13">
        <f>Inputs!B9</f>
      </c>
      <c r="O99" s="13">
        <f>MAX(1,SQRT(L99/MAX(M99*MAX(N99,0.01)/(1+Inputs!B11),1)))</f>
      </c>
      <c r="P99" s="13">
        <f>MIN(1,A99/12)</f>
      </c>
      <c r="Q99" s="13">
        <f>IF(Inputs!B7=1,MAX(N99,L99*(1+Inputs!B11)/MAX(M99,1)),N99+(N99*O99-N99)*P99)</f>
      </c>
      <c r="R99" s="11">
        <f>IF(Inputs!B7=1,L99*(1+Inputs!B11),M99*Q99)</f>
      </c>
      <c r="S99" s="11">
        <f>R99/(1+Inputs!B11)</f>
      </c>
      <c r="T99" s="11">
        <f>IF(Inputs!B7=1,L99,MIN(S99,L99))</f>
      </c>
      <c r="U99" s="11">
        <f>IF(Inputs!B19=1,MAX(0,T99-J99),0)</f>
      </c>
      <c r="V99" s="11">
        <f>T99*(1+Inputs!B11)</f>
      </c>
      <c r="W99" s="11">
        <f>V99-T99</f>
      </c>
      <c r="X99" s="11">
        <f>V99*Inputs!B13*MIN(12,Inputs!B10)/12</f>
      </c>
      <c r="Y99" s="11">
        <f>W99*Inputs!B14/12</f>
      </c>
      <c r="Z99" s="11">
        <f>J99+U99-T99+X99-Y99</f>
      </c>
      <c r="AA99" s="11">
        <f>D99+E99-I99+U99+X99-Y99</f>
      </c>
      <c r="AB99" s="11">
        <f>IF(U99&gt;0,AB98*(1+Inputs!B15/12)+U99,AB98*(1+Inputs!B15/12))</f>
      </c>
      <c r="AC99" s="9">
        <f>IF(Inputs!B21&gt;0,AA99/Inputs!B21,0)</f>
      </c>
      <c r="AD99" s="11">
        <f>G99+T99</f>
      </c>
      <c r="AE99" s="11">
        <f>H99+W99</f>
      </c>
      <c r="AF99" s="11">
        <f>AD99+AE99</f>
      </c>
      <c r="AG99" s="13">
        <f>IF(M99&gt;0,V99/M99,0)</f>
      </c>
      <c r="AH99" s="11">
        <f>AH98+U99</f>
      </c>
      <c r="AI99" s="8">
        <f>IFERROR((1+IRR(VSTACK($AJ$8:INDEX($AJ:$AJ,ROW()-1),-U99+AA99)))^12-1,0)</f>
      </c>
      <c r="AJ99" s="11">
        <f>-U99</f>
      </c>
    </row>
    <row r="100">
      <c r="A100" s="13">
        <f>A99+1</f>
      </c>
      <c r="B100" t="inlineStr" s="10">
        <is>
          <t>Month 93</t>
        </is>
      </c>
      <c r="C100" s="11">
        <f>Z99</f>
      </c>
      <c r="D100" s="11">
        <f>AA99</f>
      </c>
      <c r="E100" s="11">
        <f>IF(A100&lt;=12,0,INDEX($V$8:$V$127,A100-12)*Inputs!B13*MAX(0,Inputs!B10-12)/12)</f>
      </c>
      <c r="F100" s="11">
        <f>IF(A100&lt;=Inputs!B10,0,INDEX($T$8:$T$127,A100-Inputs!B10))</f>
      </c>
      <c r="G100" s="11">
        <f>AD99-F100</f>
      </c>
      <c r="H100" s="11">
        <f>AE99-IF(A100&lt;=Inputs!B10,0,INDEX($W$8:$W$127,A100-Inputs!B10))</f>
      </c>
      <c r="I100" s="11">
        <f>H100*Inputs!B14/12</f>
      </c>
      <c r="J100" s="11">
        <f>C100+E100+F100-I100</f>
      </c>
      <c r="K100" s="11">
        <f>IF(Inputs!B19=1,MAX(0,Inputs!B5*1000000000-AH99),0)</f>
      </c>
      <c r="L100" s="11">
        <f>MAX(0,J100+K100)</f>
      </c>
      <c r="M100" s="11">
        <f>Inputs!B8*1000000</f>
      </c>
      <c r="N100" s="13">
        <f>Inputs!B9</f>
      </c>
      <c r="O100" s="13">
        <f>MAX(1,SQRT(L100/MAX(M100*MAX(N100,0.01)/(1+Inputs!B11),1)))</f>
      </c>
      <c r="P100" s="13">
        <f>MIN(1,A100/12)</f>
      </c>
      <c r="Q100" s="13">
        <f>IF(Inputs!B7=1,MAX(N100,L100*(1+Inputs!B11)/MAX(M100,1)),N100+(N100*O100-N100)*P100)</f>
      </c>
      <c r="R100" s="11">
        <f>IF(Inputs!B7=1,L100*(1+Inputs!B11),M100*Q100)</f>
      </c>
      <c r="S100" s="11">
        <f>R100/(1+Inputs!B11)</f>
      </c>
      <c r="T100" s="11">
        <f>IF(Inputs!B7=1,L100,MIN(S100,L100))</f>
      </c>
      <c r="U100" s="11">
        <f>IF(Inputs!B19=1,MAX(0,T100-J100),0)</f>
      </c>
      <c r="V100" s="11">
        <f>T100*(1+Inputs!B11)</f>
      </c>
      <c r="W100" s="11">
        <f>V100-T100</f>
      </c>
      <c r="X100" s="11">
        <f>V100*Inputs!B13*MIN(12,Inputs!B10)/12</f>
      </c>
      <c r="Y100" s="11">
        <f>W100*Inputs!B14/12</f>
      </c>
      <c r="Z100" s="11">
        <f>J100+U100-T100+X100-Y100</f>
      </c>
      <c r="AA100" s="11">
        <f>D100+E100-I100+U100+X100-Y100</f>
      </c>
      <c r="AB100" s="11">
        <f>IF(U100&gt;0,AB99*(1+Inputs!B15/12)+U100,AB99*(1+Inputs!B15/12))</f>
      </c>
      <c r="AC100" s="9">
        <f>IF(Inputs!B21&gt;0,AA100/Inputs!B21,0)</f>
      </c>
      <c r="AD100" s="11">
        <f>G100+T100</f>
      </c>
      <c r="AE100" s="11">
        <f>H100+W100</f>
      </c>
      <c r="AF100" s="11">
        <f>AD100+AE100</f>
      </c>
      <c r="AG100" s="13">
        <f>IF(M100&gt;0,V100/M100,0)</f>
      </c>
      <c r="AH100" s="11">
        <f>AH99+U100</f>
      </c>
      <c r="AI100" s="8">
        <f>IFERROR((1+IRR(VSTACK($AJ$8:INDEX($AJ:$AJ,ROW()-1),-U100+AA100)))^12-1,0)</f>
      </c>
      <c r="AJ100" s="11">
        <f>-U100</f>
      </c>
    </row>
    <row r="101">
      <c r="A101" s="13">
        <f>A100+1</f>
      </c>
      <c r="B101" t="inlineStr" s="10">
        <is>
          <t>Month 94</t>
        </is>
      </c>
      <c r="C101" s="11">
        <f>Z100</f>
      </c>
      <c r="D101" s="11">
        <f>AA100</f>
      </c>
      <c r="E101" s="11">
        <f>IF(A101&lt;=12,0,INDEX($V$8:$V$127,A101-12)*Inputs!B13*MAX(0,Inputs!B10-12)/12)</f>
      </c>
      <c r="F101" s="11">
        <f>IF(A101&lt;=Inputs!B10,0,INDEX($T$8:$T$127,A101-Inputs!B10))</f>
      </c>
      <c r="G101" s="11">
        <f>AD100-F101</f>
      </c>
      <c r="H101" s="11">
        <f>AE100-IF(A101&lt;=Inputs!B10,0,INDEX($W$8:$W$127,A101-Inputs!B10))</f>
      </c>
      <c r="I101" s="11">
        <f>H101*Inputs!B14/12</f>
      </c>
      <c r="J101" s="11">
        <f>C101+E101+F101-I101</f>
      </c>
      <c r="K101" s="11">
        <f>IF(Inputs!B19=1,MAX(0,Inputs!B5*1000000000-AH100),0)</f>
      </c>
      <c r="L101" s="11">
        <f>MAX(0,J101+K101)</f>
      </c>
      <c r="M101" s="11">
        <f>Inputs!B8*1000000</f>
      </c>
      <c r="N101" s="13">
        <f>Inputs!B9</f>
      </c>
      <c r="O101" s="13">
        <f>MAX(1,SQRT(L101/MAX(M101*MAX(N101,0.01)/(1+Inputs!B11),1)))</f>
      </c>
      <c r="P101" s="13">
        <f>MIN(1,A101/12)</f>
      </c>
      <c r="Q101" s="13">
        <f>IF(Inputs!B7=1,MAX(N101,L101*(1+Inputs!B11)/MAX(M101,1)),N101+(N101*O101-N101)*P101)</f>
      </c>
      <c r="R101" s="11">
        <f>IF(Inputs!B7=1,L101*(1+Inputs!B11),M101*Q101)</f>
      </c>
      <c r="S101" s="11">
        <f>R101/(1+Inputs!B11)</f>
      </c>
      <c r="T101" s="11">
        <f>IF(Inputs!B7=1,L101,MIN(S101,L101))</f>
      </c>
      <c r="U101" s="11">
        <f>IF(Inputs!B19=1,MAX(0,T101-J101),0)</f>
      </c>
      <c r="V101" s="11">
        <f>T101*(1+Inputs!B11)</f>
      </c>
      <c r="W101" s="11">
        <f>V101-T101</f>
      </c>
      <c r="X101" s="11">
        <f>V101*Inputs!B13*MIN(12,Inputs!B10)/12</f>
      </c>
      <c r="Y101" s="11">
        <f>W101*Inputs!B14/12</f>
      </c>
      <c r="Z101" s="11">
        <f>J101+U101-T101+X101-Y101</f>
      </c>
      <c r="AA101" s="11">
        <f>D101+E101-I101+U101+X101-Y101</f>
      </c>
      <c r="AB101" s="11">
        <f>IF(U101&gt;0,AB100*(1+Inputs!B15/12)+U101,AB100*(1+Inputs!B15/12))</f>
      </c>
      <c r="AC101" s="9">
        <f>IF(Inputs!B21&gt;0,AA101/Inputs!B21,0)</f>
      </c>
      <c r="AD101" s="11">
        <f>G101+T101</f>
      </c>
      <c r="AE101" s="11">
        <f>H101+W101</f>
      </c>
      <c r="AF101" s="11">
        <f>AD101+AE101</f>
      </c>
      <c r="AG101" s="13">
        <f>IF(M101&gt;0,V101/M101,0)</f>
      </c>
      <c r="AH101" s="11">
        <f>AH100+U101</f>
      </c>
      <c r="AI101" s="8">
        <f>IFERROR((1+IRR(VSTACK($AJ$8:INDEX($AJ:$AJ,ROW()-1),-U101+AA101)))^12-1,0)</f>
      </c>
      <c r="AJ101" s="11">
        <f>-U101</f>
      </c>
    </row>
    <row r="102">
      <c r="A102" s="13">
        <f>A101+1</f>
      </c>
      <c r="B102" t="inlineStr" s="10">
        <is>
          <t>Month 95</t>
        </is>
      </c>
      <c r="C102" s="11">
        <f>Z101</f>
      </c>
      <c r="D102" s="11">
        <f>AA101</f>
      </c>
      <c r="E102" s="11">
        <f>IF(A102&lt;=12,0,INDEX($V$8:$V$127,A102-12)*Inputs!B13*MAX(0,Inputs!B10-12)/12)</f>
      </c>
      <c r="F102" s="11">
        <f>IF(A102&lt;=Inputs!B10,0,INDEX($T$8:$T$127,A102-Inputs!B10))</f>
      </c>
      <c r="G102" s="11">
        <f>AD101-F102</f>
      </c>
      <c r="H102" s="11">
        <f>AE101-IF(A102&lt;=Inputs!B10,0,INDEX($W$8:$W$127,A102-Inputs!B10))</f>
      </c>
      <c r="I102" s="11">
        <f>H102*Inputs!B14/12</f>
      </c>
      <c r="J102" s="11">
        <f>C102+E102+F102-I102</f>
      </c>
      <c r="K102" s="11">
        <f>IF(Inputs!B19=1,MAX(0,Inputs!B5*1000000000-AH101),0)</f>
      </c>
      <c r="L102" s="11">
        <f>MAX(0,J102+K102)</f>
      </c>
      <c r="M102" s="11">
        <f>Inputs!B8*1000000</f>
      </c>
      <c r="N102" s="13">
        <f>Inputs!B9</f>
      </c>
      <c r="O102" s="13">
        <f>MAX(1,SQRT(L102/MAX(M102*MAX(N102,0.01)/(1+Inputs!B11),1)))</f>
      </c>
      <c r="P102" s="13">
        <f>MIN(1,A102/12)</f>
      </c>
      <c r="Q102" s="13">
        <f>IF(Inputs!B7=1,MAX(N102,L102*(1+Inputs!B11)/MAX(M102,1)),N102+(N102*O102-N102)*P102)</f>
      </c>
      <c r="R102" s="11">
        <f>IF(Inputs!B7=1,L102*(1+Inputs!B11),M102*Q102)</f>
      </c>
      <c r="S102" s="11">
        <f>R102/(1+Inputs!B11)</f>
      </c>
      <c r="T102" s="11">
        <f>IF(Inputs!B7=1,L102,MIN(S102,L102))</f>
      </c>
      <c r="U102" s="11">
        <f>IF(Inputs!B19=1,MAX(0,T102-J102),0)</f>
      </c>
      <c r="V102" s="11">
        <f>T102*(1+Inputs!B11)</f>
      </c>
      <c r="W102" s="11">
        <f>V102-T102</f>
      </c>
      <c r="X102" s="11">
        <f>V102*Inputs!B13*MIN(12,Inputs!B10)/12</f>
      </c>
      <c r="Y102" s="11">
        <f>W102*Inputs!B14/12</f>
      </c>
      <c r="Z102" s="11">
        <f>J102+U102-T102+X102-Y102</f>
      </c>
      <c r="AA102" s="11">
        <f>D102+E102-I102+U102+X102-Y102</f>
      </c>
      <c r="AB102" s="11">
        <f>IF(U102&gt;0,AB101*(1+Inputs!B15/12)+U102,AB101*(1+Inputs!B15/12))</f>
      </c>
      <c r="AC102" s="9">
        <f>IF(Inputs!B21&gt;0,AA102/Inputs!B21,0)</f>
      </c>
      <c r="AD102" s="11">
        <f>G102+T102</f>
      </c>
      <c r="AE102" s="11">
        <f>H102+W102</f>
      </c>
      <c r="AF102" s="11">
        <f>AD102+AE102</f>
      </c>
      <c r="AG102" s="13">
        <f>IF(M102&gt;0,V102/M102,0)</f>
      </c>
      <c r="AH102" s="11">
        <f>AH101+U102</f>
      </c>
      <c r="AI102" s="8">
        <f>IFERROR((1+IRR(VSTACK($AJ$8:INDEX($AJ:$AJ,ROW()-1),-U102+AA102)))^12-1,0)</f>
      </c>
      <c r="AJ102" s="11">
        <f>-U102</f>
      </c>
    </row>
    <row r="103">
      <c r="A103" s="13">
        <f>A102+1</f>
      </c>
      <c r="B103" t="inlineStr" s="10">
        <is>
          <t>Month 96</t>
        </is>
      </c>
      <c r="C103" s="11">
        <f>Z102</f>
      </c>
      <c r="D103" s="11">
        <f>AA102</f>
      </c>
      <c r="E103" s="11">
        <f>IF(A103&lt;=12,0,INDEX($V$8:$V$127,A103-12)*Inputs!B13*MAX(0,Inputs!B10-12)/12)</f>
      </c>
      <c r="F103" s="11">
        <f>IF(A103&lt;=Inputs!B10,0,INDEX($T$8:$T$127,A103-Inputs!B10))</f>
      </c>
      <c r="G103" s="11">
        <f>AD102-F103</f>
      </c>
      <c r="H103" s="11">
        <f>AE102-IF(A103&lt;=Inputs!B10,0,INDEX($W$8:$W$127,A103-Inputs!B10))</f>
      </c>
      <c r="I103" s="11">
        <f>H103*Inputs!B14/12</f>
      </c>
      <c r="J103" s="11">
        <f>C103+E103+F103-I103</f>
      </c>
      <c r="K103" s="11">
        <f>IF(Inputs!B19=1,MAX(0,Inputs!B5*1000000000-AH102),0)</f>
      </c>
      <c r="L103" s="11">
        <f>MAX(0,J103+K103)</f>
      </c>
      <c r="M103" s="11">
        <f>Inputs!B8*1000000</f>
      </c>
      <c r="N103" s="13">
        <f>Inputs!B9</f>
      </c>
      <c r="O103" s="13">
        <f>MAX(1,SQRT(L103/MAX(M103*MAX(N103,0.01)/(1+Inputs!B11),1)))</f>
      </c>
      <c r="P103" s="13">
        <f>MIN(1,A103/12)</f>
      </c>
      <c r="Q103" s="13">
        <f>IF(Inputs!B7=1,MAX(N103,L103*(1+Inputs!B11)/MAX(M103,1)),N103+(N103*O103-N103)*P103)</f>
      </c>
      <c r="R103" s="11">
        <f>IF(Inputs!B7=1,L103*(1+Inputs!B11),M103*Q103)</f>
      </c>
      <c r="S103" s="11">
        <f>R103/(1+Inputs!B11)</f>
      </c>
      <c r="T103" s="11">
        <f>IF(Inputs!B7=1,L103,MIN(S103,L103))</f>
      </c>
      <c r="U103" s="11">
        <f>IF(Inputs!B19=1,MAX(0,T103-J103),0)</f>
      </c>
      <c r="V103" s="11">
        <f>T103*(1+Inputs!B11)</f>
      </c>
      <c r="W103" s="11">
        <f>V103-T103</f>
      </c>
      <c r="X103" s="11">
        <f>V103*Inputs!B13*MIN(12,Inputs!B10)/12</f>
      </c>
      <c r="Y103" s="11">
        <f>W103*Inputs!B14/12</f>
      </c>
      <c r="Z103" s="11">
        <f>J103+U103-T103+X103-Y103</f>
      </c>
      <c r="AA103" s="11">
        <f>D103+E103-I103+U103+X103-Y103</f>
      </c>
      <c r="AB103" s="11">
        <f>IF(U103&gt;0,AB102*(1+Inputs!B15/12)+U103,AB102*(1+Inputs!B15/12))</f>
      </c>
      <c r="AC103" s="9">
        <f>IF(Inputs!B21&gt;0,AA103/Inputs!B21,0)</f>
      </c>
      <c r="AD103" s="11">
        <f>G103+T103</f>
      </c>
      <c r="AE103" s="11">
        <f>H103+W103</f>
      </c>
      <c r="AF103" s="11">
        <f>AD103+AE103</f>
      </c>
      <c r="AG103" s="13">
        <f>IF(M103&gt;0,V103/M103,0)</f>
      </c>
      <c r="AH103" s="11">
        <f>AH102+U103</f>
      </c>
      <c r="AI103" s="8">
        <f>IFERROR((1+IRR(VSTACK($AJ$8:INDEX($AJ:$AJ,ROW()-1),-U103+AA103)))^12-1,0)</f>
      </c>
      <c r="AJ103" s="11">
        <f>-U103</f>
      </c>
    </row>
    <row r="104">
      <c r="A104" s="13">
        <f>A103+1</f>
      </c>
      <c r="B104" t="inlineStr" s="10">
        <is>
          <t>Month 97</t>
        </is>
      </c>
      <c r="C104" s="11">
        <f>Z103</f>
      </c>
      <c r="D104" s="11">
        <f>AA103</f>
      </c>
      <c r="E104" s="11">
        <f>IF(A104&lt;=12,0,INDEX($V$8:$V$127,A104-12)*Inputs!B13*MAX(0,Inputs!B10-12)/12)</f>
      </c>
      <c r="F104" s="11">
        <f>IF(A104&lt;=Inputs!B10,0,INDEX($T$8:$T$127,A104-Inputs!B10))</f>
      </c>
      <c r="G104" s="11">
        <f>AD103-F104</f>
      </c>
      <c r="H104" s="11">
        <f>AE103-IF(A104&lt;=Inputs!B10,0,INDEX($W$8:$W$127,A104-Inputs!B10))</f>
      </c>
      <c r="I104" s="11">
        <f>H104*Inputs!B14/12</f>
      </c>
      <c r="J104" s="11">
        <f>C104+E104+F104-I104</f>
      </c>
      <c r="K104" s="11">
        <f>IF(Inputs!B19=1,MAX(0,Inputs!B5*1000000000-AH103),0)</f>
      </c>
      <c r="L104" s="11">
        <f>MAX(0,J104+K104)</f>
      </c>
      <c r="M104" s="11">
        <f>Inputs!B8*1000000</f>
      </c>
      <c r="N104" s="13">
        <f>Inputs!B9</f>
      </c>
      <c r="O104" s="13">
        <f>MAX(1,SQRT(L104/MAX(M104*MAX(N104,0.01)/(1+Inputs!B11),1)))</f>
      </c>
      <c r="P104" s="13">
        <f>MIN(1,A104/12)</f>
      </c>
      <c r="Q104" s="13">
        <f>IF(Inputs!B7=1,MAX(N104,L104*(1+Inputs!B11)/MAX(M104,1)),N104+(N104*O104-N104)*P104)</f>
      </c>
      <c r="R104" s="11">
        <f>IF(Inputs!B7=1,L104*(1+Inputs!B11),M104*Q104)</f>
      </c>
      <c r="S104" s="11">
        <f>R104/(1+Inputs!B11)</f>
      </c>
      <c r="T104" s="11">
        <f>IF(Inputs!B7=1,L104,MIN(S104,L104))</f>
      </c>
      <c r="U104" s="11">
        <f>IF(Inputs!B19=1,MAX(0,T104-J104),0)</f>
      </c>
      <c r="V104" s="11">
        <f>T104*(1+Inputs!B11)</f>
      </c>
      <c r="W104" s="11">
        <f>V104-T104</f>
      </c>
      <c r="X104" s="11">
        <f>V104*Inputs!B13*MIN(12,Inputs!B10)/12</f>
      </c>
      <c r="Y104" s="11">
        <f>W104*Inputs!B14/12</f>
      </c>
      <c r="Z104" s="11">
        <f>J104+U104-T104+X104-Y104</f>
      </c>
      <c r="AA104" s="11">
        <f>D104+E104-I104+U104+X104-Y104</f>
      </c>
      <c r="AB104" s="11">
        <f>IF(U104&gt;0,AB103*(1+Inputs!B15/12)+U104,AB103*(1+Inputs!B15/12))</f>
      </c>
      <c r="AC104" s="9">
        <f>IF(Inputs!B21&gt;0,AA104/Inputs!B21,0)</f>
      </c>
      <c r="AD104" s="11">
        <f>G104+T104</f>
      </c>
      <c r="AE104" s="11">
        <f>H104+W104</f>
      </c>
      <c r="AF104" s="11">
        <f>AD104+AE104</f>
      </c>
      <c r="AG104" s="13">
        <f>IF(M104&gt;0,V104/M104,0)</f>
      </c>
      <c r="AH104" s="11">
        <f>AH103+U104</f>
      </c>
      <c r="AI104" s="8">
        <f>IFERROR((1+IRR(VSTACK($AJ$8:INDEX($AJ:$AJ,ROW()-1),-U104+AA104)))^12-1,0)</f>
      </c>
      <c r="AJ104" s="11">
        <f>-U104</f>
      </c>
    </row>
    <row r="105">
      <c r="A105" s="13">
        <f>A104+1</f>
      </c>
      <c r="B105" t="inlineStr" s="10">
        <is>
          <t>Month 98</t>
        </is>
      </c>
      <c r="C105" s="11">
        <f>Z104</f>
      </c>
      <c r="D105" s="11">
        <f>AA104</f>
      </c>
      <c r="E105" s="11">
        <f>IF(A105&lt;=12,0,INDEX($V$8:$V$127,A105-12)*Inputs!B13*MAX(0,Inputs!B10-12)/12)</f>
      </c>
      <c r="F105" s="11">
        <f>IF(A105&lt;=Inputs!B10,0,INDEX($T$8:$T$127,A105-Inputs!B10))</f>
      </c>
      <c r="G105" s="11">
        <f>AD104-F105</f>
      </c>
      <c r="H105" s="11">
        <f>AE104-IF(A105&lt;=Inputs!B10,0,INDEX($W$8:$W$127,A105-Inputs!B10))</f>
      </c>
      <c r="I105" s="11">
        <f>H105*Inputs!B14/12</f>
      </c>
      <c r="J105" s="11">
        <f>C105+E105+F105-I105</f>
      </c>
      <c r="K105" s="11">
        <f>IF(Inputs!B19=1,MAX(0,Inputs!B5*1000000000-AH104),0)</f>
      </c>
      <c r="L105" s="11">
        <f>MAX(0,J105+K105)</f>
      </c>
      <c r="M105" s="11">
        <f>Inputs!B8*1000000</f>
      </c>
      <c r="N105" s="13">
        <f>Inputs!B9</f>
      </c>
      <c r="O105" s="13">
        <f>MAX(1,SQRT(L105/MAX(M105*MAX(N105,0.01)/(1+Inputs!B11),1)))</f>
      </c>
      <c r="P105" s="13">
        <f>MIN(1,A105/12)</f>
      </c>
      <c r="Q105" s="13">
        <f>IF(Inputs!B7=1,MAX(N105,L105*(1+Inputs!B11)/MAX(M105,1)),N105+(N105*O105-N105)*P105)</f>
      </c>
      <c r="R105" s="11">
        <f>IF(Inputs!B7=1,L105*(1+Inputs!B11),M105*Q105)</f>
      </c>
      <c r="S105" s="11">
        <f>R105/(1+Inputs!B11)</f>
      </c>
      <c r="T105" s="11">
        <f>IF(Inputs!B7=1,L105,MIN(S105,L105))</f>
      </c>
      <c r="U105" s="11">
        <f>IF(Inputs!B19=1,MAX(0,T105-J105),0)</f>
      </c>
      <c r="V105" s="11">
        <f>T105*(1+Inputs!B11)</f>
      </c>
      <c r="W105" s="11">
        <f>V105-T105</f>
      </c>
      <c r="X105" s="11">
        <f>V105*Inputs!B13*MIN(12,Inputs!B10)/12</f>
      </c>
      <c r="Y105" s="11">
        <f>W105*Inputs!B14/12</f>
      </c>
      <c r="Z105" s="11">
        <f>J105+U105-T105+X105-Y105</f>
      </c>
      <c r="AA105" s="11">
        <f>D105+E105-I105+U105+X105-Y105</f>
      </c>
      <c r="AB105" s="11">
        <f>IF(U105&gt;0,AB104*(1+Inputs!B15/12)+U105,AB104*(1+Inputs!B15/12))</f>
      </c>
      <c r="AC105" s="9">
        <f>IF(Inputs!B21&gt;0,AA105/Inputs!B21,0)</f>
      </c>
      <c r="AD105" s="11">
        <f>G105+T105</f>
      </c>
      <c r="AE105" s="11">
        <f>H105+W105</f>
      </c>
      <c r="AF105" s="11">
        <f>AD105+AE105</f>
      </c>
      <c r="AG105" s="13">
        <f>IF(M105&gt;0,V105/M105,0)</f>
      </c>
      <c r="AH105" s="11">
        <f>AH104+U105</f>
      </c>
      <c r="AI105" s="8">
        <f>IFERROR((1+IRR(VSTACK($AJ$8:INDEX($AJ:$AJ,ROW()-1),-U105+AA105)))^12-1,0)</f>
      </c>
      <c r="AJ105" s="11">
        <f>-U105</f>
      </c>
    </row>
    <row r="106">
      <c r="A106" s="13">
        <f>A105+1</f>
      </c>
      <c r="B106" t="inlineStr" s="10">
        <is>
          <t>Month 99</t>
        </is>
      </c>
      <c r="C106" s="11">
        <f>Z105</f>
      </c>
      <c r="D106" s="11">
        <f>AA105</f>
      </c>
      <c r="E106" s="11">
        <f>IF(A106&lt;=12,0,INDEX($V$8:$V$127,A106-12)*Inputs!B13*MAX(0,Inputs!B10-12)/12)</f>
      </c>
      <c r="F106" s="11">
        <f>IF(A106&lt;=Inputs!B10,0,INDEX($T$8:$T$127,A106-Inputs!B10))</f>
      </c>
      <c r="G106" s="11">
        <f>AD105-F106</f>
      </c>
      <c r="H106" s="11">
        <f>AE105-IF(A106&lt;=Inputs!B10,0,INDEX($W$8:$W$127,A106-Inputs!B10))</f>
      </c>
      <c r="I106" s="11">
        <f>H106*Inputs!B14/12</f>
      </c>
      <c r="J106" s="11">
        <f>C106+E106+F106-I106</f>
      </c>
      <c r="K106" s="11">
        <f>IF(Inputs!B19=1,MAX(0,Inputs!B5*1000000000-AH105),0)</f>
      </c>
      <c r="L106" s="11">
        <f>MAX(0,J106+K106)</f>
      </c>
      <c r="M106" s="11">
        <f>Inputs!B8*1000000</f>
      </c>
      <c r="N106" s="13">
        <f>Inputs!B9</f>
      </c>
      <c r="O106" s="13">
        <f>MAX(1,SQRT(L106/MAX(M106*MAX(N106,0.01)/(1+Inputs!B11),1)))</f>
      </c>
      <c r="P106" s="13">
        <f>MIN(1,A106/12)</f>
      </c>
      <c r="Q106" s="13">
        <f>IF(Inputs!B7=1,MAX(N106,L106*(1+Inputs!B11)/MAX(M106,1)),N106+(N106*O106-N106)*P106)</f>
      </c>
      <c r="R106" s="11">
        <f>IF(Inputs!B7=1,L106*(1+Inputs!B11),M106*Q106)</f>
      </c>
      <c r="S106" s="11">
        <f>R106/(1+Inputs!B11)</f>
      </c>
      <c r="T106" s="11">
        <f>IF(Inputs!B7=1,L106,MIN(S106,L106))</f>
      </c>
      <c r="U106" s="11">
        <f>IF(Inputs!B19=1,MAX(0,T106-J106),0)</f>
      </c>
      <c r="V106" s="11">
        <f>T106*(1+Inputs!B11)</f>
      </c>
      <c r="W106" s="11">
        <f>V106-T106</f>
      </c>
      <c r="X106" s="11">
        <f>V106*Inputs!B13*MIN(12,Inputs!B10)/12</f>
      </c>
      <c r="Y106" s="11">
        <f>W106*Inputs!B14/12</f>
      </c>
      <c r="Z106" s="11">
        <f>J106+U106-T106+X106-Y106</f>
      </c>
      <c r="AA106" s="11">
        <f>D106+E106-I106+U106+X106-Y106</f>
      </c>
      <c r="AB106" s="11">
        <f>IF(U106&gt;0,AB105*(1+Inputs!B15/12)+U106,AB105*(1+Inputs!B15/12))</f>
      </c>
      <c r="AC106" s="9">
        <f>IF(Inputs!B21&gt;0,AA106/Inputs!B21,0)</f>
      </c>
      <c r="AD106" s="11">
        <f>G106+T106</f>
      </c>
      <c r="AE106" s="11">
        <f>H106+W106</f>
      </c>
      <c r="AF106" s="11">
        <f>AD106+AE106</f>
      </c>
      <c r="AG106" s="13">
        <f>IF(M106&gt;0,V106/M106,0)</f>
      </c>
      <c r="AH106" s="11">
        <f>AH105+U106</f>
      </c>
      <c r="AI106" s="8">
        <f>IFERROR((1+IRR(VSTACK($AJ$8:INDEX($AJ:$AJ,ROW()-1),-U106+AA106)))^12-1,0)</f>
      </c>
      <c r="AJ106" s="11">
        <f>-U106</f>
      </c>
    </row>
    <row r="107">
      <c r="A107" s="13">
        <f>A106+1</f>
      </c>
      <c r="B107" t="inlineStr" s="10">
        <is>
          <t>Month 100</t>
        </is>
      </c>
      <c r="C107" s="11">
        <f>Z106</f>
      </c>
      <c r="D107" s="11">
        <f>AA106</f>
      </c>
      <c r="E107" s="11">
        <f>IF(A107&lt;=12,0,INDEX($V$8:$V$127,A107-12)*Inputs!B13*MAX(0,Inputs!B10-12)/12)</f>
      </c>
      <c r="F107" s="11">
        <f>IF(A107&lt;=Inputs!B10,0,INDEX($T$8:$T$127,A107-Inputs!B10))</f>
      </c>
      <c r="G107" s="11">
        <f>AD106-F107</f>
      </c>
      <c r="H107" s="11">
        <f>AE106-IF(A107&lt;=Inputs!B10,0,INDEX($W$8:$W$127,A107-Inputs!B10))</f>
      </c>
      <c r="I107" s="11">
        <f>H107*Inputs!B14/12</f>
      </c>
      <c r="J107" s="11">
        <f>C107+E107+F107-I107</f>
      </c>
      <c r="K107" s="11">
        <f>IF(Inputs!B19=1,MAX(0,Inputs!B5*1000000000-AH106),0)</f>
      </c>
      <c r="L107" s="11">
        <f>MAX(0,J107+K107)</f>
      </c>
      <c r="M107" s="11">
        <f>Inputs!B8*1000000</f>
      </c>
      <c r="N107" s="13">
        <f>Inputs!B9</f>
      </c>
      <c r="O107" s="13">
        <f>MAX(1,SQRT(L107/MAX(M107*MAX(N107,0.01)/(1+Inputs!B11),1)))</f>
      </c>
      <c r="P107" s="13">
        <f>MIN(1,A107/12)</f>
      </c>
      <c r="Q107" s="13">
        <f>IF(Inputs!B7=1,MAX(N107,L107*(1+Inputs!B11)/MAX(M107,1)),N107+(N107*O107-N107)*P107)</f>
      </c>
      <c r="R107" s="11">
        <f>IF(Inputs!B7=1,L107*(1+Inputs!B11),M107*Q107)</f>
      </c>
      <c r="S107" s="11">
        <f>R107/(1+Inputs!B11)</f>
      </c>
      <c r="T107" s="11">
        <f>IF(Inputs!B7=1,L107,MIN(S107,L107))</f>
      </c>
      <c r="U107" s="11">
        <f>IF(Inputs!B19=1,MAX(0,T107-J107),0)</f>
      </c>
      <c r="V107" s="11">
        <f>T107*(1+Inputs!B11)</f>
      </c>
      <c r="W107" s="11">
        <f>V107-T107</f>
      </c>
      <c r="X107" s="11">
        <f>V107*Inputs!B13*MIN(12,Inputs!B10)/12</f>
      </c>
      <c r="Y107" s="11">
        <f>W107*Inputs!B14/12</f>
      </c>
      <c r="Z107" s="11">
        <f>J107+U107-T107+X107-Y107</f>
      </c>
      <c r="AA107" s="11">
        <f>D107+E107-I107+U107+X107-Y107</f>
      </c>
      <c r="AB107" s="11">
        <f>IF(U107&gt;0,AB106*(1+Inputs!B15/12)+U107,AB106*(1+Inputs!B15/12))</f>
      </c>
      <c r="AC107" s="9">
        <f>IF(Inputs!B21&gt;0,AA107/Inputs!B21,0)</f>
      </c>
      <c r="AD107" s="11">
        <f>G107+T107</f>
      </c>
      <c r="AE107" s="11">
        <f>H107+W107</f>
      </c>
      <c r="AF107" s="11">
        <f>AD107+AE107</f>
      </c>
      <c r="AG107" s="13">
        <f>IF(M107&gt;0,V107/M107,0)</f>
      </c>
      <c r="AH107" s="11">
        <f>AH106+U107</f>
      </c>
      <c r="AI107" s="8">
        <f>IFERROR((1+IRR(VSTACK($AJ$8:INDEX($AJ:$AJ,ROW()-1),-U107+AA107)))^12-1,0)</f>
      </c>
      <c r="AJ107" s="11">
        <f>-U107</f>
      </c>
    </row>
    <row r="108">
      <c r="A108" s="13">
        <f>A107+1</f>
      </c>
      <c r="B108" t="inlineStr" s="10">
        <is>
          <t>Month 101</t>
        </is>
      </c>
      <c r="C108" s="11">
        <f>Z107</f>
      </c>
      <c r="D108" s="11">
        <f>AA107</f>
      </c>
      <c r="E108" s="11">
        <f>IF(A108&lt;=12,0,INDEX($V$8:$V$127,A108-12)*Inputs!B13*MAX(0,Inputs!B10-12)/12)</f>
      </c>
      <c r="F108" s="11">
        <f>IF(A108&lt;=Inputs!B10,0,INDEX($T$8:$T$127,A108-Inputs!B10))</f>
      </c>
      <c r="G108" s="11">
        <f>AD107-F108</f>
      </c>
      <c r="H108" s="11">
        <f>AE107-IF(A108&lt;=Inputs!B10,0,INDEX($W$8:$W$127,A108-Inputs!B10))</f>
      </c>
      <c r="I108" s="11">
        <f>H108*Inputs!B14/12</f>
      </c>
      <c r="J108" s="11">
        <f>C108+E108+F108-I108</f>
      </c>
      <c r="K108" s="11">
        <f>IF(Inputs!B19=1,MAX(0,Inputs!B5*1000000000-AH107),0)</f>
      </c>
      <c r="L108" s="11">
        <f>MAX(0,J108+K108)</f>
      </c>
      <c r="M108" s="11">
        <f>Inputs!B8*1000000</f>
      </c>
      <c r="N108" s="13">
        <f>Inputs!B9</f>
      </c>
      <c r="O108" s="13">
        <f>MAX(1,SQRT(L108/MAX(M108*MAX(N108,0.01)/(1+Inputs!B11),1)))</f>
      </c>
      <c r="P108" s="13">
        <f>MIN(1,A108/12)</f>
      </c>
      <c r="Q108" s="13">
        <f>IF(Inputs!B7=1,MAX(N108,L108*(1+Inputs!B11)/MAX(M108,1)),N108+(N108*O108-N108)*P108)</f>
      </c>
      <c r="R108" s="11">
        <f>IF(Inputs!B7=1,L108*(1+Inputs!B11),M108*Q108)</f>
      </c>
      <c r="S108" s="11">
        <f>R108/(1+Inputs!B11)</f>
      </c>
      <c r="T108" s="11">
        <f>IF(Inputs!B7=1,L108,MIN(S108,L108))</f>
      </c>
      <c r="U108" s="11">
        <f>IF(Inputs!B19=1,MAX(0,T108-J108),0)</f>
      </c>
      <c r="V108" s="11">
        <f>T108*(1+Inputs!B11)</f>
      </c>
      <c r="W108" s="11">
        <f>V108-T108</f>
      </c>
      <c r="X108" s="11">
        <f>V108*Inputs!B13*MIN(12,Inputs!B10)/12</f>
      </c>
      <c r="Y108" s="11">
        <f>W108*Inputs!B14/12</f>
      </c>
      <c r="Z108" s="11">
        <f>J108+U108-T108+X108-Y108</f>
      </c>
      <c r="AA108" s="11">
        <f>D108+E108-I108+U108+X108-Y108</f>
      </c>
      <c r="AB108" s="11">
        <f>IF(U108&gt;0,AB107*(1+Inputs!B15/12)+U108,AB107*(1+Inputs!B15/12))</f>
      </c>
      <c r="AC108" s="9">
        <f>IF(Inputs!B21&gt;0,AA108/Inputs!B21,0)</f>
      </c>
      <c r="AD108" s="11">
        <f>G108+T108</f>
      </c>
      <c r="AE108" s="11">
        <f>H108+W108</f>
      </c>
      <c r="AF108" s="11">
        <f>AD108+AE108</f>
      </c>
      <c r="AG108" s="13">
        <f>IF(M108&gt;0,V108/M108,0)</f>
      </c>
      <c r="AH108" s="11">
        <f>AH107+U108</f>
      </c>
      <c r="AI108" s="8">
        <f>IFERROR((1+IRR(VSTACK($AJ$8:INDEX($AJ:$AJ,ROW()-1),-U108+AA108)))^12-1,0)</f>
      </c>
      <c r="AJ108" s="11">
        <f>-U108</f>
      </c>
    </row>
    <row r="109">
      <c r="A109" s="13">
        <f>A108+1</f>
      </c>
      <c r="B109" t="inlineStr" s="10">
        <is>
          <t>Month 102</t>
        </is>
      </c>
      <c r="C109" s="11">
        <f>Z108</f>
      </c>
      <c r="D109" s="11">
        <f>AA108</f>
      </c>
      <c r="E109" s="11">
        <f>IF(A109&lt;=12,0,INDEX($V$8:$V$127,A109-12)*Inputs!B13*MAX(0,Inputs!B10-12)/12)</f>
      </c>
      <c r="F109" s="11">
        <f>IF(A109&lt;=Inputs!B10,0,INDEX($T$8:$T$127,A109-Inputs!B10))</f>
      </c>
      <c r="G109" s="11">
        <f>AD108-F109</f>
      </c>
      <c r="H109" s="11">
        <f>AE108-IF(A109&lt;=Inputs!B10,0,INDEX($W$8:$W$127,A109-Inputs!B10))</f>
      </c>
      <c r="I109" s="11">
        <f>H109*Inputs!B14/12</f>
      </c>
      <c r="J109" s="11">
        <f>C109+E109+F109-I109</f>
      </c>
      <c r="K109" s="11">
        <f>IF(Inputs!B19=1,MAX(0,Inputs!B5*1000000000-AH108),0)</f>
      </c>
      <c r="L109" s="11">
        <f>MAX(0,J109+K109)</f>
      </c>
      <c r="M109" s="11">
        <f>Inputs!B8*1000000</f>
      </c>
      <c r="N109" s="13">
        <f>Inputs!B9</f>
      </c>
      <c r="O109" s="13">
        <f>MAX(1,SQRT(L109/MAX(M109*MAX(N109,0.01)/(1+Inputs!B11),1)))</f>
      </c>
      <c r="P109" s="13">
        <f>MIN(1,A109/12)</f>
      </c>
      <c r="Q109" s="13">
        <f>IF(Inputs!B7=1,MAX(N109,L109*(1+Inputs!B11)/MAX(M109,1)),N109+(N109*O109-N109)*P109)</f>
      </c>
      <c r="R109" s="11">
        <f>IF(Inputs!B7=1,L109*(1+Inputs!B11),M109*Q109)</f>
      </c>
      <c r="S109" s="11">
        <f>R109/(1+Inputs!B11)</f>
      </c>
      <c r="T109" s="11">
        <f>IF(Inputs!B7=1,L109,MIN(S109,L109))</f>
      </c>
      <c r="U109" s="11">
        <f>IF(Inputs!B19=1,MAX(0,T109-J109),0)</f>
      </c>
      <c r="V109" s="11">
        <f>T109*(1+Inputs!B11)</f>
      </c>
      <c r="W109" s="11">
        <f>V109-T109</f>
      </c>
      <c r="X109" s="11">
        <f>V109*Inputs!B13*MIN(12,Inputs!B10)/12</f>
      </c>
      <c r="Y109" s="11">
        <f>W109*Inputs!B14/12</f>
      </c>
      <c r="Z109" s="11">
        <f>J109+U109-T109+X109-Y109</f>
      </c>
      <c r="AA109" s="11">
        <f>D109+E109-I109+U109+X109-Y109</f>
      </c>
      <c r="AB109" s="11">
        <f>IF(U109&gt;0,AB108*(1+Inputs!B15/12)+U109,AB108*(1+Inputs!B15/12))</f>
      </c>
      <c r="AC109" s="9">
        <f>IF(Inputs!B21&gt;0,AA109/Inputs!B21,0)</f>
      </c>
      <c r="AD109" s="11">
        <f>G109+T109</f>
      </c>
      <c r="AE109" s="11">
        <f>H109+W109</f>
      </c>
      <c r="AF109" s="11">
        <f>AD109+AE109</f>
      </c>
      <c r="AG109" s="13">
        <f>IF(M109&gt;0,V109/M109,0)</f>
      </c>
      <c r="AH109" s="11">
        <f>AH108+U109</f>
      </c>
      <c r="AI109" s="8">
        <f>IFERROR((1+IRR(VSTACK($AJ$8:INDEX($AJ:$AJ,ROW()-1),-U109+AA109)))^12-1,0)</f>
      </c>
      <c r="AJ109" s="11">
        <f>-U109</f>
      </c>
    </row>
    <row r="110">
      <c r="A110" s="13">
        <f>A109+1</f>
      </c>
      <c r="B110" t="inlineStr" s="10">
        <is>
          <t>Month 103</t>
        </is>
      </c>
      <c r="C110" s="11">
        <f>Z109</f>
      </c>
      <c r="D110" s="11">
        <f>AA109</f>
      </c>
      <c r="E110" s="11">
        <f>IF(A110&lt;=12,0,INDEX($V$8:$V$127,A110-12)*Inputs!B13*MAX(0,Inputs!B10-12)/12)</f>
      </c>
      <c r="F110" s="11">
        <f>IF(A110&lt;=Inputs!B10,0,INDEX($T$8:$T$127,A110-Inputs!B10))</f>
      </c>
      <c r="G110" s="11">
        <f>AD109-F110</f>
      </c>
      <c r="H110" s="11">
        <f>AE109-IF(A110&lt;=Inputs!B10,0,INDEX($W$8:$W$127,A110-Inputs!B10))</f>
      </c>
      <c r="I110" s="11">
        <f>H110*Inputs!B14/12</f>
      </c>
      <c r="J110" s="11">
        <f>C110+E110+F110-I110</f>
      </c>
      <c r="K110" s="11">
        <f>IF(Inputs!B19=1,MAX(0,Inputs!B5*1000000000-AH109),0)</f>
      </c>
      <c r="L110" s="11">
        <f>MAX(0,J110+K110)</f>
      </c>
      <c r="M110" s="11">
        <f>Inputs!B8*1000000</f>
      </c>
      <c r="N110" s="13">
        <f>Inputs!B9</f>
      </c>
      <c r="O110" s="13">
        <f>MAX(1,SQRT(L110/MAX(M110*MAX(N110,0.01)/(1+Inputs!B11),1)))</f>
      </c>
      <c r="P110" s="13">
        <f>MIN(1,A110/12)</f>
      </c>
      <c r="Q110" s="13">
        <f>IF(Inputs!B7=1,MAX(N110,L110*(1+Inputs!B11)/MAX(M110,1)),N110+(N110*O110-N110)*P110)</f>
      </c>
      <c r="R110" s="11">
        <f>IF(Inputs!B7=1,L110*(1+Inputs!B11),M110*Q110)</f>
      </c>
      <c r="S110" s="11">
        <f>R110/(1+Inputs!B11)</f>
      </c>
      <c r="T110" s="11">
        <f>IF(Inputs!B7=1,L110,MIN(S110,L110))</f>
      </c>
      <c r="U110" s="11">
        <f>IF(Inputs!B19=1,MAX(0,T110-J110),0)</f>
      </c>
      <c r="V110" s="11">
        <f>T110*(1+Inputs!B11)</f>
      </c>
      <c r="W110" s="11">
        <f>V110-T110</f>
      </c>
      <c r="X110" s="11">
        <f>V110*Inputs!B13*MIN(12,Inputs!B10)/12</f>
      </c>
      <c r="Y110" s="11">
        <f>W110*Inputs!B14/12</f>
      </c>
      <c r="Z110" s="11">
        <f>J110+U110-T110+X110-Y110</f>
      </c>
      <c r="AA110" s="11">
        <f>D110+E110-I110+U110+X110-Y110</f>
      </c>
      <c r="AB110" s="11">
        <f>IF(U110&gt;0,AB109*(1+Inputs!B15/12)+U110,AB109*(1+Inputs!B15/12))</f>
      </c>
      <c r="AC110" s="9">
        <f>IF(Inputs!B21&gt;0,AA110/Inputs!B21,0)</f>
      </c>
      <c r="AD110" s="11">
        <f>G110+T110</f>
      </c>
      <c r="AE110" s="11">
        <f>H110+W110</f>
      </c>
      <c r="AF110" s="11">
        <f>AD110+AE110</f>
      </c>
      <c r="AG110" s="13">
        <f>IF(M110&gt;0,V110/M110,0)</f>
      </c>
      <c r="AH110" s="11">
        <f>AH109+U110</f>
      </c>
      <c r="AI110" s="8">
        <f>IFERROR((1+IRR(VSTACK($AJ$8:INDEX($AJ:$AJ,ROW()-1),-U110+AA110)))^12-1,0)</f>
      </c>
      <c r="AJ110" s="11">
        <f>-U110</f>
      </c>
    </row>
    <row r="111">
      <c r="A111" s="13">
        <f>A110+1</f>
      </c>
      <c r="B111" t="inlineStr" s="10">
        <is>
          <t>Month 104</t>
        </is>
      </c>
      <c r="C111" s="11">
        <f>Z110</f>
      </c>
      <c r="D111" s="11">
        <f>AA110</f>
      </c>
      <c r="E111" s="11">
        <f>IF(A111&lt;=12,0,INDEX($V$8:$V$127,A111-12)*Inputs!B13*MAX(0,Inputs!B10-12)/12)</f>
      </c>
      <c r="F111" s="11">
        <f>IF(A111&lt;=Inputs!B10,0,INDEX($T$8:$T$127,A111-Inputs!B10))</f>
      </c>
      <c r="G111" s="11">
        <f>AD110-F111</f>
      </c>
      <c r="H111" s="11">
        <f>AE110-IF(A111&lt;=Inputs!B10,0,INDEX($W$8:$W$127,A111-Inputs!B10))</f>
      </c>
      <c r="I111" s="11">
        <f>H111*Inputs!B14/12</f>
      </c>
      <c r="J111" s="11">
        <f>C111+E111+F111-I111</f>
      </c>
      <c r="K111" s="11">
        <f>IF(Inputs!B19=1,MAX(0,Inputs!B5*1000000000-AH110),0)</f>
      </c>
      <c r="L111" s="11">
        <f>MAX(0,J111+K111)</f>
      </c>
      <c r="M111" s="11">
        <f>Inputs!B8*1000000</f>
      </c>
      <c r="N111" s="13">
        <f>Inputs!B9</f>
      </c>
      <c r="O111" s="13">
        <f>MAX(1,SQRT(L111/MAX(M111*MAX(N111,0.01)/(1+Inputs!B11),1)))</f>
      </c>
      <c r="P111" s="13">
        <f>MIN(1,A111/12)</f>
      </c>
      <c r="Q111" s="13">
        <f>IF(Inputs!B7=1,MAX(N111,L111*(1+Inputs!B11)/MAX(M111,1)),N111+(N111*O111-N111)*P111)</f>
      </c>
      <c r="R111" s="11">
        <f>IF(Inputs!B7=1,L111*(1+Inputs!B11),M111*Q111)</f>
      </c>
      <c r="S111" s="11">
        <f>R111/(1+Inputs!B11)</f>
      </c>
      <c r="T111" s="11">
        <f>IF(Inputs!B7=1,L111,MIN(S111,L111))</f>
      </c>
      <c r="U111" s="11">
        <f>IF(Inputs!B19=1,MAX(0,T111-J111),0)</f>
      </c>
      <c r="V111" s="11">
        <f>T111*(1+Inputs!B11)</f>
      </c>
      <c r="W111" s="11">
        <f>V111-T111</f>
      </c>
      <c r="X111" s="11">
        <f>V111*Inputs!B13*MIN(12,Inputs!B10)/12</f>
      </c>
      <c r="Y111" s="11">
        <f>W111*Inputs!B14/12</f>
      </c>
      <c r="Z111" s="11">
        <f>J111+U111-T111+X111-Y111</f>
      </c>
      <c r="AA111" s="11">
        <f>D111+E111-I111+U111+X111-Y111</f>
      </c>
      <c r="AB111" s="11">
        <f>IF(U111&gt;0,AB110*(1+Inputs!B15/12)+U111,AB110*(1+Inputs!B15/12))</f>
      </c>
      <c r="AC111" s="9">
        <f>IF(Inputs!B21&gt;0,AA111/Inputs!B21,0)</f>
      </c>
      <c r="AD111" s="11">
        <f>G111+T111</f>
      </c>
      <c r="AE111" s="11">
        <f>H111+W111</f>
      </c>
      <c r="AF111" s="11">
        <f>AD111+AE111</f>
      </c>
      <c r="AG111" s="13">
        <f>IF(M111&gt;0,V111/M111,0)</f>
      </c>
      <c r="AH111" s="11">
        <f>AH110+U111</f>
      </c>
      <c r="AI111" s="8">
        <f>IFERROR((1+IRR(VSTACK($AJ$8:INDEX($AJ:$AJ,ROW()-1),-U111+AA111)))^12-1,0)</f>
      </c>
      <c r="AJ111" s="11">
        <f>-U111</f>
      </c>
    </row>
    <row r="112">
      <c r="A112" s="13">
        <f>A111+1</f>
      </c>
      <c r="B112" t="inlineStr" s="10">
        <is>
          <t>Month 105</t>
        </is>
      </c>
      <c r="C112" s="11">
        <f>Z111</f>
      </c>
      <c r="D112" s="11">
        <f>AA111</f>
      </c>
      <c r="E112" s="11">
        <f>IF(A112&lt;=12,0,INDEX($V$8:$V$127,A112-12)*Inputs!B13*MAX(0,Inputs!B10-12)/12)</f>
      </c>
      <c r="F112" s="11">
        <f>IF(A112&lt;=Inputs!B10,0,INDEX($T$8:$T$127,A112-Inputs!B10))</f>
      </c>
      <c r="G112" s="11">
        <f>AD111-F112</f>
      </c>
      <c r="H112" s="11">
        <f>AE111-IF(A112&lt;=Inputs!B10,0,INDEX($W$8:$W$127,A112-Inputs!B10))</f>
      </c>
      <c r="I112" s="11">
        <f>H112*Inputs!B14/12</f>
      </c>
      <c r="J112" s="11">
        <f>C112+E112+F112-I112</f>
      </c>
      <c r="K112" s="11">
        <f>IF(Inputs!B19=1,MAX(0,Inputs!B5*1000000000-AH111),0)</f>
      </c>
      <c r="L112" s="11">
        <f>MAX(0,J112+K112)</f>
      </c>
      <c r="M112" s="11">
        <f>Inputs!B8*1000000</f>
      </c>
      <c r="N112" s="13">
        <f>Inputs!B9</f>
      </c>
      <c r="O112" s="13">
        <f>MAX(1,SQRT(L112/MAX(M112*MAX(N112,0.01)/(1+Inputs!B11),1)))</f>
      </c>
      <c r="P112" s="13">
        <f>MIN(1,A112/12)</f>
      </c>
      <c r="Q112" s="13">
        <f>IF(Inputs!B7=1,MAX(N112,L112*(1+Inputs!B11)/MAX(M112,1)),N112+(N112*O112-N112)*P112)</f>
      </c>
      <c r="R112" s="11">
        <f>IF(Inputs!B7=1,L112*(1+Inputs!B11),M112*Q112)</f>
      </c>
      <c r="S112" s="11">
        <f>R112/(1+Inputs!B11)</f>
      </c>
      <c r="T112" s="11">
        <f>IF(Inputs!B7=1,L112,MIN(S112,L112))</f>
      </c>
      <c r="U112" s="11">
        <f>IF(Inputs!B19=1,MAX(0,T112-J112),0)</f>
      </c>
      <c r="V112" s="11">
        <f>T112*(1+Inputs!B11)</f>
      </c>
      <c r="W112" s="11">
        <f>V112-T112</f>
      </c>
      <c r="X112" s="11">
        <f>V112*Inputs!B13*MIN(12,Inputs!B10)/12</f>
      </c>
      <c r="Y112" s="11">
        <f>W112*Inputs!B14/12</f>
      </c>
      <c r="Z112" s="11">
        <f>J112+U112-T112+X112-Y112</f>
      </c>
      <c r="AA112" s="11">
        <f>D112+E112-I112+U112+X112-Y112</f>
      </c>
      <c r="AB112" s="11">
        <f>IF(U112&gt;0,AB111*(1+Inputs!B15/12)+U112,AB111*(1+Inputs!B15/12))</f>
      </c>
      <c r="AC112" s="9">
        <f>IF(Inputs!B21&gt;0,AA112/Inputs!B21,0)</f>
      </c>
      <c r="AD112" s="11">
        <f>G112+T112</f>
      </c>
      <c r="AE112" s="11">
        <f>H112+W112</f>
      </c>
      <c r="AF112" s="11">
        <f>AD112+AE112</f>
      </c>
      <c r="AG112" s="13">
        <f>IF(M112&gt;0,V112/M112,0)</f>
      </c>
      <c r="AH112" s="11">
        <f>AH111+U112</f>
      </c>
      <c r="AI112" s="8">
        <f>IFERROR((1+IRR(VSTACK($AJ$8:INDEX($AJ:$AJ,ROW()-1),-U112+AA112)))^12-1,0)</f>
      </c>
      <c r="AJ112" s="11">
        <f>-U112</f>
      </c>
    </row>
    <row r="113">
      <c r="A113" s="13">
        <f>A112+1</f>
      </c>
      <c r="B113" t="inlineStr" s="10">
        <is>
          <t>Month 106</t>
        </is>
      </c>
      <c r="C113" s="11">
        <f>Z112</f>
      </c>
      <c r="D113" s="11">
        <f>AA112</f>
      </c>
      <c r="E113" s="11">
        <f>IF(A113&lt;=12,0,INDEX($V$8:$V$127,A113-12)*Inputs!B13*MAX(0,Inputs!B10-12)/12)</f>
      </c>
      <c r="F113" s="11">
        <f>IF(A113&lt;=Inputs!B10,0,INDEX($T$8:$T$127,A113-Inputs!B10))</f>
      </c>
      <c r="G113" s="11">
        <f>AD112-F113</f>
      </c>
      <c r="H113" s="11">
        <f>AE112-IF(A113&lt;=Inputs!B10,0,INDEX($W$8:$W$127,A113-Inputs!B10))</f>
      </c>
      <c r="I113" s="11">
        <f>H113*Inputs!B14/12</f>
      </c>
      <c r="J113" s="11">
        <f>C113+E113+F113-I113</f>
      </c>
      <c r="K113" s="11">
        <f>IF(Inputs!B19=1,MAX(0,Inputs!B5*1000000000-AH112),0)</f>
      </c>
      <c r="L113" s="11">
        <f>MAX(0,J113+K113)</f>
      </c>
      <c r="M113" s="11">
        <f>Inputs!B8*1000000</f>
      </c>
      <c r="N113" s="13">
        <f>Inputs!B9</f>
      </c>
      <c r="O113" s="13">
        <f>MAX(1,SQRT(L113/MAX(M113*MAX(N113,0.01)/(1+Inputs!B11),1)))</f>
      </c>
      <c r="P113" s="13">
        <f>MIN(1,A113/12)</f>
      </c>
      <c r="Q113" s="13">
        <f>IF(Inputs!B7=1,MAX(N113,L113*(1+Inputs!B11)/MAX(M113,1)),N113+(N113*O113-N113)*P113)</f>
      </c>
      <c r="R113" s="11">
        <f>IF(Inputs!B7=1,L113*(1+Inputs!B11),M113*Q113)</f>
      </c>
      <c r="S113" s="11">
        <f>R113/(1+Inputs!B11)</f>
      </c>
      <c r="T113" s="11">
        <f>IF(Inputs!B7=1,L113,MIN(S113,L113))</f>
      </c>
      <c r="U113" s="11">
        <f>IF(Inputs!B19=1,MAX(0,T113-J113),0)</f>
      </c>
      <c r="V113" s="11">
        <f>T113*(1+Inputs!B11)</f>
      </c>
      <c r="W113" s="11">
        <f>V113-T113</f>
      </c>
      <c r="X113" s="11">
        <f>V113*Inputs!B13*MIN(12,Inputs!B10)/12</f>
      </c>
      <c r="Y113" s="11">
        <f>W113*Inputs!B14/12</f>
      </c>
      <c r="Z113" s="11">
        <f>J113+U113-T113+X113-Y113</f>
      </c>
      <c r="AA113" s="11">
        <f>D113+E113-I113+U113+X113-Y113</f>
      </c>
      <c r="AB113" s="11">
        <f>IF(U113&gt;0,AB112*(1+Inputs!B15/12)+U113,AB112*(1+Inputs!B15/12))</f>
      </c>
      <c r="AC113" s="9">
        <f>IF(Inputs!B21&gt;0,AA113/Inputs!B21,0)</f>
      </c>
      <c r="AD113" s="11">
        <f>G113+T113</f>
      </c>
      <c r="AE113" s="11">
        <f>H113+W113</f>
      </c>
      <c r="AF113" s="11">
        <f>AD113+AE113</f>
      </c>
      <c r="AG113" s="13">
        <f>IF(M113&gt;0,V113/M113,0)</f>
      </c>
      <c r="AH113" s="11">
        <f>AH112+U113</f>
      </c>
      <c r="AI113" s="8">
        <f>IFERROR((1+IRR(VSTACK($AJ$8:INDEX($AJ:$AJ,ROW()-1),-U113+AA113)))^12-1,0)</f>
      </c>
      <c r="AJ113" s="11">
        <f>-U113</f>
      </c>
    </row>
    <row r="114">
      <c r="A114" s="13">
        <f>A113+1</f>
      </c>
      <c r="B114" t="inlineStr" s="10">
        <is>
          <t>Month 107</t>
        </is>
      </c>
      <c r="C114" s="11">
        <f>Z113</f>
      </c>
      <c r="D114" s="11">
        <f>AA113</f>
      </c>
      <c r="E114" s="11">
        <f>IF(A114&lt;=12,0,INDEX($V$8:$V$127,A114-12)*Inputs!B13*MAX(0,Inputs!B10-12)/12)</f>
      </c>
      <c r="F114" s="11">
        <f>IF(A114&lt;=Inputs!B10,0,INDEX($T$8:$T$127,A114-Inputs!B10))</f>
      </c>
      <c r="G114" s="11">
        <f>AD113-F114</f>
      </c>
      <c r="H114" s="11">
        <f>AE113-IF(A114&lt;=Inputs!B10,0,INDEX($W$8:$W$127,A114-Inputs!B10))</f>
      </c>
      <c r="I114" s="11">
        <f>H114*Inputs!B14/12</f>
      </c>
      <c r="J114" s="11">
        <f>C114+E114+F114-I114</f>
      </c>
      <c r="K114" s="11">
        <f>IF(Inputs!B19=1,MAX(0,Inputs!B5*1000000000-AH113),0)</f>
      </c>
      <c r="L114" s="11">
        <f>MAX(0,J114+K114)</f>
      </c>
      <c r="M114" s="11">
        <f>Inputs!B8*1000000</f>
      </c>
      <c r="N114" s="13">
        <f>Inputs!B9</f>
      </c>
      <c r="O114" s="13">
        <f>MAX(1,SQRT(L114/MAX(M114*MAX(N114,0.01)/(1+Inputs!B11),1)))</f>
      </c>
      <c r="P114" s="13">
        <f>MIN(1,A114/12)</f>
      </c>
      <c r="Q114" s="13">
        <f>IF(Inputs!B7=1,MAX(N114,L114*(1+Inputs!B11)/MAX(M114,1)),N114+(N114*O114-N114)*P114)</f>
      </c>
      <c r="R114" s="11">
        <f>IF(Inputs!B7=1,L114*(1+Inputs!B11),M114*Q114)</f>
      </c>
      <c r="S114" s="11">
        <f>R114/(1+Inputs!B11)</f>
      </c>
      <c r="T114" s="11">
        <f>IF(Inputs!B7=1,L114,MIN(S114,L114))</f>
      </c>
      <c r="U114" s="11">
        <f>IF(Inputs!B19=1,MAX(0,T114-J114),0)</f>
      </c>
      <c r="V114" s="11">
        <f>T114*(1+Inputs!B11)</f>
      </c>
      <c r="W114" s="11">
        <f>V114-T114</f>
      </c>
      <c r="X114" s="11">
        <f>V114*Inputs!B13*MIN(12,Inputs!B10)/12</f>
      </c>
      <c r="Y114" s="11">
        <f>W114*Inputs!B14/12</f>
      </c>
      <c r="Z114" s="11">
        <f>J114+U114-T114+X114-Y114</f>
      </c>
      <c r="AA114" s="11">
        <f>D114+E114-I114+U114+X114-Y114</f>
      </c>
      <c r="AB114" s="11">
        <f>IF(U114&gt;0,AB113*(1+Inputs!B15/12)+U114,AB113*(1+Inputs!B15/12))</f>
      </c>
      <c r="AC114" s="9">
        <f>IF(Inputs!B21&gt;0,AA114/Inputs!B21,0)</f>
      </c>
      <c r="AD114" s="11">
        <f>G114+T114</f>
      </c>
      <c r="AE114" s="11">
        <f>H114+W114</f>
      </c>
      <c r="AF114" s="11">
        <f>AD114+AE114</f>
      </c>
      <c r="AG114" s="13">
        <f>IF(M114&gt;0,V114/M114,0)</f>
      </c>
      <c r="AH114" s="11">
        <f>AH113+U114</f>
      </c>
      <c r="AI114" s="8">
        <f>IFERROR((1+IRR(VSTACK($AJ$8:INDEX($AJ:$AJ,ROW()-1),-U114+AA114)))^12-1,0)</f>
      </c>
      <c r="AJ114" s="11">
        <f>-U114</f>
      </c>
    </row>
    <row r="115">
      <c r="A115" s="13">
        <f>A114+1</f>
      </c>
      <c r="B115" t="inlineStr" s="10">
        <is>
          <t>Month 108</t>
        </is>
      </c>
      <c r="C115" s="11">
        <f>Z114</f>
      </c>
      <c r="D115" s="11">
        <f>AA114</f>
      </c>
      <c r="E115" s="11">
        <f>IF(A115&lt;=12,0,INDEX($V$8:$V$127,A115-12)*Inputs!B13*MAX(0,Inputs!B10-12)/12)</f>
      </c>
      <c r="F115" s="11">
        <f>IF(A115&lt;=Inputs!B10,0,INDEX($T$8:$T$127,A115-Inputs!B10))</f>
      </c>
      <c r="G115" s="11">
        <f>AD114-F115</f>
      </c>
      <c r="H115" s="11">
        <f>AE114-IF(A115&lt;=Inputs!B10,0,INDEX($W$8:$W$127,A115-Inputs!B10))</f>
      </c>
      <c r="I115" s="11">
        <f>H115*Inputs!B14/12</f>
      </c>
      <c r="J115" s="11">
        <f>C115+E115+F115-I115</f>
      </c>
      <c r="K115" s="11">
        <f>IF(Inputs!B19=1,MAX(0,Inputs!B5*1000000000-AH114),0)</f>
      </c>
      <c r="L115" s="11">
        <f>MAX(0,J115+K115)</f>
      </c>
      <c r="M115" s="11">
        <f>Inputs!B8*1000000</f>
      </c>
      <c r="N115" s="13">
        <f>Inputs!B9</f>
      </c>
      <c r="O115" s="13">
        <f>MAX(1,SQRT(L115/MAX(M115*MAX(N115,0.01)/(1+Inputs!B11),1)))</f>
      </c>
      <c r="P115" s="13">
        <f>MIN(1,A115/12)</f>
      </c>
      <c r="Q115" s="13">
        <f>IF(Inputs!B7=1,MAX(N115,L115*(1+Inputs!B11)/MAX(M115,1)),N115+(N115*O115-N115)*P115)</f>
      </c>
      <c r="R115" s="11">
        <f>IF(Inputs!B7=1,L115*(1+Inputs!B11),M115*Q115)</f>
      </c>
      <c r="S115" s="11">
        <f>R115/(1+Inputs!B11)</f>
      </c>
      <c r="T115" s="11">
        <f>IF(Inputs!B7=1,L115,MIN(S115,L115))</f>
      </c>
      <c r="U115" s="11">
        <f>IF(Inputs!B19=1,MAX(0,T115-J115),0)</f>
      </c>
      <c r="V115" s="11">
        <f>T115*(1+Inputs!B11)</f>
      </c>
      <c r="W115" s="11">
        <f>V115-T115</f>
      </c>
      <c r="X115" s="11">
        <f>V115*Inputs!B13*MIN(12,Inputs!B10)/12</f>
      </c>
      <c r="Y115" s="11">
        <f>W115*Inputs!B14/12</f>
      </c>
      <c r="Z115" s="11">
        <f>J115+U115-T115+X115-Y115</f>
      </c>
      <c r="AA115" s="11">
        <f>D115+E115-I115+U115+X115-Y115</f>
      </c>
      <c r="AB115" s="11">
        <f>IF(U115&gt;0,AB114*(1+Inputs!B15/12)+U115,AB114*(1+Inputs!B15/12))</f>
      </c>
      <c r="AC115" s="9">
        <f>IF(Inputs!B21&gt;0,AA115/Inputs!B21,0)</f>
      </c>
      <c r="AD115" s="11">
        <f>G115+T115</f>
      </c>
      <c r="AE115" s="11">
        <f>H115+W115</f>
      </c>
      <c r="AF115" s="11">
        <f>AD115+AE115</f>
      </c>
      <c r="AG115" s="13">
        <f>IF(M115&gt;0,V115/M115,0)</f>
      </c>
      <c r="AH115" s="11">
        <f>AH114+U115</f>
      </c>
      <c r="AI115" s="8">
        <f>IFERROR((1+IRR(VSTACK($AJ$8:INDEX($AJ:$AJ,ROW()-1),-U115+AA115)))^12-1,0)</f>
      </c>
      <c r="AJ115" s="11">
        <f>-U115</f>
      </c>
    </row>
    <row r="116">
      <c r="A116" s="13">
        <f>A115+1</f>
      </c>
      <c r="B116" t="inlineStr" s="10">
        <is>
          <t>Month 109</t>
        </is>
      </c>
      <c r="C116" s="11">
        <f>Z115</f>
      </c>
      <c r="D116" s="11">
        <f>AA115</f>
      </c>
      <c r="E116" s="11">
        <f>IF(A116&lt;=12,0,INDEX($V$8:$V$127,A116-12)*Inputs!B13*MAX(0,Inputs!B10-12)/12)</f>
      </c>
      <c r="F116" s="11">
        <f>IF(A116&lt;=Inputs!B10,0,INDEX($T$8:$T$127,A116-Inputs!B10))</f>
      </c>
      <c r="G116" s="11">
        <f>AD115-F116</f>
      </c>
      <c r="H116" s="11">
        <f>AE115-IF(A116&lt;=Inputs!B10,0,INDEX($W$8:$W$127,A116-Inputs!B10))</f>
      </c>
      <c r="I116" s="11">
        <f>H116*Inputs!B14/12</f>
      </c>
      <c r="J116" s="11">
        <f>C116+E116+F116-I116</f>
      </c>
      <c r="K116" s="11">
        <f>IF(Inputs!B19=1,MAX(0,Inputs!B5*1000000000-AH115),0)</f>
      </c>
      <c r="L116" s="11">
        <f>MAX(0,J116+K116)</f>
      </c>
      <c r="M116" s="11">
        <f>Inputs!B8*1000000</f>
      </c>
      <c r="N116" s="13">
        <f>Inputs!B9</f>
      </c>
      <c r="O116" s="13">
        <f>MAX(1,SQRT(L116/MAX(M116*MAX(N116,0.01)/(1+Inputs!B11),1)))</f>
      </c>
      <c r="P116" s="13">
        <f>MIN(1,A116/12)</f>
      </c>
      <c r="Q116" s="13">
        <f>IF(Inputs!B7=1,MAX(N116,L116*(1+Inputs!B11)/MAX(M116,1)),N116+(N116*O116-N116)*P116)</f>
      </c>
      <c r="R116" s="11">
        <f>IF(Inputs!B7=1,L116*(1+Inputs!B11),M116*Q116)</f>
      </c>
      <c r="S116" s="11">
        <f>R116/(1+Inputs!B11)</f>
      </c>
      <c r="T116" s="11">
        <f>IF(Inputs!B7=1,L116,MIN(S116,L116))</f>
      </c>
      <c r="U116" s="11">
        <f>IF(Inputs!B19=1,MAX(0,T116-J116),0)</f>
      </c>
      <c r="V116" s="11">
        <f>T116*(1+Inputs!B11)</f>
      </c>
      <c r="W116" s="11">
        <f>V116-T116</f>
      </c>
      <c r="X116" s="11">
        <f>V116*Inputs!B13*MIN(12,Inputs!B10)/12</f>
      </c>
      <c r="Y116" s="11">
        <f>W116*Inputs!B14/12</f>
      </c>
      <c r="Z116" s="11">
        <f>J116+U116-T116+X116-Y116</f>
      </c>
      <c r="AA116" s="11">
        <f>D116+E116-I116+U116+X116-Y116</f>
      </c>
      <c r="AB116" s="11">
        <f>IF(U116&gt;0,AB115*(1+Inputs!B15/12)+U116,AB115*(1+Inputs!B15/12))</f>
      </c>
      <c r="AC116" s="9">
        <f>IF(Inputs!B21&gt;0,AA116/Inputs!B21,0)</f>
      </c>
      <c r="AD116" s="11">
        <f>G116+T116</f>
      </c>
      <c r="AE116" s="11">
        <f>H116+W116</f>
      </c>
      <c r="AF116" s="11">
        <f>AD116+AE116</f>
      </c>
      <c r="AG116" s="13">
        <f>IF(M116&gt;0,V116/M116,0)</f>
      </c>
      <c r="AH116" s="11">
        <f>AH115+U116</f>
      </c>
      <c r="AI116" s="8">
        <f>IFERROR((1+IRR(VSTACK($AJ$8:INDEX($AJ:$AJ,ROW()-1),-U116+AA116)))^12-1,0)</f>
      </c>
      <c r="AJ116" s="11">
        <f>-U116</f>
      </c>
    </row>
    <row r="117">
      <c r="A117" s="13">
        <f>A116+1</f>
      </c>
      <c r="B117" t="inlineStr" s="10">
        <is>
          <t>Month 110</t>
        </is>
      </c>
      <c r="C117" s="11">
        <f>Z116</f>
      </c>
      <c r="D117" s="11">
        <f>AA116</f>
      </c>
      <c r="E117" s="11">
        <f>IF(A117&lt;=12,0,INDEX($V$8:$V$127,A117-12)*Inputs!B13*MAX(0,Inputs!B10-12)/12)</f>
      </c>
      <c r="F117" s="11">
        <f>IF(A117&lt;=Inputs!B10,0,INDEX($T$8:$T$127,A117-Inputs!B10))</f>
      </c>
      <c r="G117" s="11">
        <f>AD116-F117</f>
      </c>
      <c r="H117" s="11">
        <f>AE116-IF(A117&lt;=Inputs!B10,0,INDEX($W$8:$W$127,A117-Inputs!B10))</f>
      </c>
      <c r="I117" s="11">
        <f>H117*Inputs!B14/12</f>
      </c>
      <c r="J117" s="11">
        <f>C117+E117+F117-I117</f>
      </c>
      <c r="K117" s="11">
        <f>IF(Inputs!B19=1,MAX(0,Inputs!B5*1000000000-AH116),0)</f>
      </c>
      <c r="L117" s="11">
        <f>MAX(0,J117+K117)</f>
      </c>
      <c r="M117" s="11">
        <f>Inputs!B8*1000000</f>
      </c>
      <c r="N117" s="13">
        <f>Inputs!B9</f>
      </c>
      <c r="O117" s="13">
        <f>MAX(1,SQRT(L117/MAX(M117*MAX(N117,0.01)/(1+Inputs!B11),1)))</f>
      </c>
      <c r="P117" s="13">
        <f>MIN(1,A117/12)</f>
      </c>
      <c r="Q117" s="13">
        <f>IF(Inputs!B7=1,MAX(N117,L117*(1+Inputs!B11)/MAX(M117,1)),N117+(N117*O117-N117)*P117)</f>
      </c>
      <c r="R117" s="11">
        <f>IF(Inputs!B7=1,L117*(1+Inputs!B11),M117*Q117)</f>
      </c>
      <c r="S117" s="11">
        <f>R117/(1+Inputs!B11)</f>
      </c>
      <c r="T117" s="11">
        <f>IF(Inputs!B7=1,L117,MIN(S117,L117))</f>
      </c>
      <c r="U117" s="11">
        <f>IF(Inputs!B19=1,MAX(0,T117-J117),0)</f>
      </c>
      <c r="V117" s="11">
        <f>T117*(1+Inputs!B11)</f>
      </c>
      <c r="W117" s="11">
        <f>V117-T117</f>
      </c>
      <c r="X117" s="11">
        <f>V117*Inputs!B13*MIN(12,Inputs!B10)/12</f>
      </c>
      <c r="Y117" s="11">
        <f>W117*Inputs!B14/12</f>
      </c>
      <c r="Z117" s="11">
        <f>J117+U117-T117+X117-Y117</f>
      </c>
      <c r="AA117" s="11">
        <f>D117+E117-I117+U117+X117-Y117</f>
      </c>
      <c r="AB117" s="11">
        <f>IF(U117&gt;0,AB116*(1+Inputs!B15/12)+U117,AB116*(1+Inputs!B15/12))</f>
      </c>
      <c r="AC117" s="9">
        <f>IF(Inputs!B21&gt;0,AA117/Inputs!B21,0)</f>
      </c>
      <c r="AD117" s="11">
        <f>G117+T117</f>
      </c>
      <c r="AE117" s="11">
        <f>H117+W117</f>
      </c>
      <c r="AF117" s="11">
        <f>AD117+AE117</f>
      </c>
      <c r="AG117" s="13">
        <f>IF(M117&gt;0,V117/M117,0)</f>
      </c>
      <c r="AH117" s="11">
        <f>AH116+U117</f>
      </c>
      <c r="AI117" s="8">
        <f>IFERROR((1+IRR(VSTACK($AJ$8:INDEX($AJ:$AJ,ROW()-1),-U117+AA117)))^12-1,0)</f>
      </c>
      <c r="AJ117" s="11">
        <f>-U117</f>
      </c>
    </row>
    <row r="118">
      <c r="A118" s="13">
        <f>A117+1</f>
      </c>
      <c r="B118" t="inlineStr" s="10">
        <is>
          <t>Month 111</t>
        </is>
      </c>
      <c r="C118" s="11">
        <f>Z117</f>
      </c>
      <c r="D118" s="11">
        <f>AA117</f>
      </c>
      <c r="E118" s="11">
        <f>IF(A118&lt;=12,0,INDEX($V$8:$V$127,A118-12)*Inputs!B13*MAX(0,Inputs!B10-12)/12)</f>
      </c>
      <c r="F118" s="11">
        <f>IF(A118&lt;=Inputs!B10,0,INDEX($T$8:$T$127,A118-Inputs!B10))</f>
      </c>
      <c r="G118" s="11">
        <f>AD117-F118</f>
      </c>
      <c r="H118" s="11">
        <f>AE117-IF(A118&lt;=Inputs!B10,0,INDEX($W$8:$W$127,A118-Inputs!B10))</f>
      </c>
      <c r="I118" s="11">
        <f>H118*Inputs!B14/12</f>
      </c>
      <c r="J118" s="11">
        <f>C118+E118+F118-I118</f>
      </c>
      <c r="K118" s="11">
        <f>IF(Inputs!B19=1,MAX(0,Inputs!B5*1000000000-AH117),0)</f>
      </c>
      <c r="L118" s="11">
        <f>MAX(0,J118+K118)</f>
      </c>
      <c r="M118" s="11">
        <f>Inputs!B8*1000000</f>
      </c>
      <c r="N118" s="13">
        <f>Inputs!B9</f>
      </c>
      <c r="O118" s="13">
        <f>MAX(1,SQRT(L118/MAX(M118*MAX(N118,0.01)/(1+Inputs!B11),1)))</f>
      </c>
      <c r="P118" s="13">
        <f>MIN(1,A118/12)</f>
      </c>
      <c r="Q118" s="13">
        <f>IF(Inputs!B7=1,MAX(N118,L118*(1+Inputs!B11)/MAX(M118,1)),N118+(N118*O118-N118)*P118)</f>
      </c>
      <c r="R118" s="11">
        <f>IF(Inputs!B7=1,L118*(1+Inputs!B11),M118*Q118)</f>
      </c>
      <c r="S118" s="11">
        <f>R118/(1+Inputs!B11)</f>
      </c>
      <c r="T118" s="11">
        <f>IF(Inputs!B7=1,L118,MIN(S118,L118))</f>
      </c>
      <c r="U118" s="11">
        <f>IF(Inputs!B19=1,MAX(0,T118-J118),0)</f>
      </c>
      <c r="V118" s="11">
        <f>T118*(1+Inputs!B11)</f>
      </c>
      <c r="W118" s="11">
        <f>V118-T118</f>
      </c>
      <c r="X118" s="11">
        <f>V118*Inputs!B13*MIN(12,Inputs!B10)/12</f>
      </c>
      <c r="Y118" s="11">
        <f>W118*Inputs!B14/12</f>
      </c>
      <c r="Z118" s="11">
        <f>J118+U118-T118+X118-Y118</f>
      </c>
      <c r="AA118" s="11">
        <f>D118+E118-I118+U118+X118-Y118</f>
      </c>
      <c r="AB118" s="11">
        <f>IF(U118&gt;0,AB117*(1+Inputs!B15/12)+U118,AB117*(1+Inputs!B15/12))</f>
      </c>
      <c r="AC118" s="9">
        <f>IF(Inputs!B21&gt;0,AA118/Inputs!B21,0)</f>
      </c>
      <c r="AD118" s="11">
        <f>G118+T118</f>
      </c>
      <c r="AE118" s="11">
        <f>H118+W118</f>
      </c>
      <c r="AF118" s="11">
        <f>AD118+AE118</f>
      </c>
      <c r="AG118" s="13">
        <f>IF(M118&gt;0,V118/M118,0)</f>
      </c>
      <c r="AH118" s="11">
        <f>AH117+U118</f>
      </c>
      <c r="AI118" s="8">
        <f>IFERROR((1+IRR(VSTACK($AJ$8:INDEX($AJ:$AJ,ROW()-1),-U118+AA118)))^12-1,0)</f>
      </c>
      <c r="AJ118" s="11">
        <f>-U118</f>
      </c>
    </row>
    <row r="119">
      <c r="A119" s="13">
        <f>A118+1</f>
      </c>
      <c r="B119" t="inlineStr" s="10">
        <is>
          <t>Month 112</t>
        </is>
      </c>
      <c r="C119" s="11">
        <f>Z118</f>
      </c>
      <c r="D119" s="11">
        <f>AA118</f>
      </c>
      <c r="E119" s="11">
        <f>IF(A119&lt;=12,0,INDEX($V$8:$V$127,A119-12)*Inputs!B13*MAX(0,Inputs!B10-12)/12)</f>
      </c>
      <c r="F119" s="11">
        <f>IF(A119&lt;=Inputs!B10,0,INDEX($T$8:$T$127,A119-Inputs!B10))</f>
      </c>
      <c r="G119" s="11">
        <f>AD118-F119</f>
      </c>
      <c r="H119" s="11">
        <f>AE118-IF(A119&lt;=Inputs!B10,0,INDEX($W$8:$W$127,A119-Inputs!B10))</f>
      </c>
      <c r="I119" s="11">
        <f>H119*Inputs!B14/12</f>
      </c>
      <c r="J119" s="11">
        <f>C119+E119+F119-I119</f>
      </c>
      <c r="K119" s="11">
        <f>IF(Inputs!B19=1,MAX(0,Inputs!B5*1000000000-AH118),0)</f>
      </c>
      <c r="L119" s="11">
        <f>MAX(0,J119+K119)</f>
      </c>
      <c r="M119" s="11">
        <f>Inputs!B8*1000000</f>
      </c>
      <c r="N119" s="13">
        <f>Inputs!B9</f>
      </c>
      <c r="O119" s="13">
        <f>MAX(1,SQRT(L119/MAX(M119*MAX(N119,0.01)/(1+Inputs!B11),1)))</f>
      </c>
      <c r="P119" s="13">
        <f>MIN(1,A119/12)</f>
      </c>
      <c r="Q119" s="13">
        <f>IF(Inputs!B7=1,MAX(N119,L119*(1+Inputs!B11)/MAX(M119,1)),N119+(N119*O119-N119)*P119)</f>
      </c>
      <c r="R119" s="11">
        <f>IF(Inputs!B7=1,L119*(1+Inputs!B11),M119*Q119)</f>
      </c>
      <c r="S119" s="11">
        <f>R119/(1+Inputs!B11)</f>
      </c>
      <c r="T119" s="11">
        <f>IF(Inputs!B7=1,L119,MIN(S119,L119))</f>
      </c>
      <c r="U119" s="11">
        <f>IF(Inputs!B19=1,MAX(0,T119-J119),0)</f>
      </c>
      <c r="V119" s="11">
        <f>T119*(1+Inputs!B11)</f>
      </c>
      <c r="W119" s="11">
        <f>V119-T119</f>
      </c>
      <c r="X119" s="11">
        <f>V119*Inputs!B13*MIN(12,Inputs!B10)/12</f>
      </c>
      <c r="Y119" s="11">
        <f>W119*Inputs!B14/12</f>
      </c>
      <c r="Z119" s="11">
        <f>J119+U119-T119+X119-Y119</f>
      </c>
      <c r="AA119" s="11">
        <f>D119+E119-I119+U119+X119-Y119</f>
      </c>
      <c r="AB119" s="11">
        <f>IF(U119&gt;0,AB118*(1+Inputs!B15/12)+U119,AB118*(1+Inputs!B15/12))</f>
      </c>
      <c r="AC119" s="9">
        <f>IF(Inputs!B21&gt;0,AA119/Inputs!B21,0)</f>
      </c>
      <c r="AD119" s="11">
        <f>G119+T119</f>
      </c>
      <c r="AE119" s="11">
        <f>H119+W119</f>
      </c>
      <c r="AF119" s="11">
        <f>AD119+AE119</f>
      </c>
      <c r="AG119" s="13">
        <f>IF(M119&gt;0,V119/M119,0)</f>
      </c>
      <c r="AH119" s="11">
        <f>AH118+U119</f>
      </c>
      <c r="AI119" s="8">
        <f>IFERROR((1+IRR(VSTACK($AJ$8:INDEX($AJ:$AJ,ROW()-1),-U119+AA119)))^12-1,0)</f>
      </c>
      <c r="AJ119" s="11">
        <f>-U119</f>
      </c>
    </row>
    <row r="120">
      <c r="A120" s="13">
        <f>A119+1</f>
      </c>
      <c r="B120" t="inlineStr" s="10">
        <is>
          <t>Month 113</t>
        </is>
      </c>
      <c r="C120" s="11">
        <f>Z119</f>
      </c>
      <c r="D120" s="11">
        <f>AA119</f>
      </c>
      <c r="E120" s="11">
        <f>IF(A120&lt;=12,0,INDEX($V$8:$V$127,A120-12)*Inputs!B13*MAX(0,Inputs!B10-12)/12)</f>
      </c>
      <c r="F120" s="11">
        <f>IF(A120&lt;=Inputs!B10,0,INDEX($T$8:$T$127,A120-Inputs!B10))</f>
      </c>
      <c r="G120" s="11">
        <f>AD119-F120</f>
      </c>
      <c r="H120" s="11">
        <f>AE119-IF(A120&lt;=Inputs!B10,0,INDEX($W$8:$W$127,A120-Inputs!B10))</f>
      </c>
      <c r="I120" s="11">
        <f>H120*Inputs!B14/12</f>
      </c>
      <c r="J120" s="11">
        <f>C120+E120+F120-I120</f>
      </c>
      <c r="K120" s="11">
        <f>IF(Inputs!B19=1,MAX(0,Inputs!B5*1000000000-AH119),0)</f>
      </c>
      <c r="L120" s="11">
        <f>MAX(0,J120+K120)</f>
      </c>
      <c r="M120" s="11">
        <f>Inputs!B8*1000000</f>
      </c>
      <c r="N120" s="13">
        <f>Inputs!B9</f>
      </c>
      <c r="O120" s="13">
        <f>MAX(1,SQRT(L120/MAX(M120*MAX(N120,0.01)/(1+Inputs!B11),1)))</f>
      </c>
      <c r="P120" s="13">
        <f>MIN(1,A120/12)</f>
      </c>
      <c r="Q120" s="13">
        <f>IF(Inputs!B7=1,MAX(N120,L120*(1+Inputs!B11)/MAX(M120,1)),N120+(N120*O120-N120)*P120)</f>
      </c>
      <c r="R120" s="11">
        <f>IF(Inputs!B7=1,L120*(1+Inputs!B11),M120*Q120)</f>
      </c>
      <c r="S120" s="11">
        <f>R120/(1+Inputs!B11)</f>
      </c>
      <c r="T120" s="11">
        <f>IF(Inputs!B7=1,L120,MIN(S120,L120))</f>
      </c>
      <c r="U120" s="11">
        <f>IF(Inputs!B19=1,MAX(0,T120-J120),0)</f>
      </c>
      <c r="V120" s="11">
        <f>T120*(1+Inputs!B11)</f>
      </c>
      <c r="W120" s="11">
        <f>V120-T120</f>
      </c>
      <c r="X120" s="11">
        <f>V120*Inputs!B13*MIN(12,Inputs!B10)/12</f>
      </c>
      <c r="Y120" s="11">
        <f>W120*Inputs!B14/12</f>
      </c>
      <c r="Z120" s="11">
        <f>J120+U120-T120+X120-Y120</f>
      </c>
      <c r="AA120" s="11">
        <f>D120+E120-I120+U120+X120-Y120</f>
      </c>
      <c r="AB120" s="11">
        <f>IF(U120&gt;0,AB119*(1+Inputs!B15/12)+U120,AB119*(1+Inputs!B15/12))</f>
      </c>
      <c r="AC120" s="9">
        <f>IF(Inputs!B21&gt;0,AA120/Inputs!B21,0)</f>
      </c>
      <c r="AD120" s="11">
        <f>G120+T120</f>
      </c>
      <c r="AE120" s="11">
        <f>H120+W120</f>
      </c>
      <c r="AF120" s="11">
        <f>AD120+AE120</f>
      </c>
      <c r="AG120" s="13">
        <f>IF(M120&gt;0,V120/M120,0)</f>
      </c>
      <c r="AH120" s="11">
        <f>AH119+U120</f>
      </c>
      <c r="AI120" s="8">
        <f>IFERROR((1+IRR(VSTACK($AJ$8:INDEX($AJ:$AJ,ROW()-1),-U120+AA120)))^12-1,0)</f>
      </c>
      <c r="AJ120" s="11">
        <f>-U120</f>
      </c>
    </row>
    <row r="121">
      <c r="A121" s="13">
        <f>A120+1</f>
      </c>
      <c r="B121" t="inlineStr" s="10">
        <is>
          <t>Month 114</t>
        </is>
      </c>
      <c r="C121" s="11">
        <f>Z120</f>
      </c>
      <c r="D121" s="11">
        <f>AA120</f>
      </c>
      <c r="E121" s="11">
        <f>IF(A121&lt;=12,0,INDEX($V$8:$V$127,A121-12)*Inputs!B13*MAX(0,Inputs!B10-12)/12)</f>
      </c>
      <c r="F121" s="11">
        <f>IF(A121&lt;=Inputs!B10,0,INDEX($T$8:$T$127,A121-Inputs!B10))</f>
      </c>
      <c r="G121" s="11">
        <f>AD120-F121</f>
      </c>
      <c r="H121" s="11">
        <f>AE120-IF(A121&lt;=Inputs!B10,0,INDEX($W$8:$W$127,A121-Inputs!B10))</f>
      </c>
      <c r="I121" s="11">
        <f>H121*Inputs!B14/12</f>
      </c>
      <c r="J121" s="11">
        <f>C121+E121+F121-I121</f>
      </c>
      <c r="K121" s="11">
        <f>IF(Inputs!B19=1,MAX(0,Inputs!B5*1000000000-AH120),0)</f>
      </c>
      <c r="L121" s="11">
        <f>MAX(0,J121+K121)</f>
      </c>
      <c r="M121" s="11">
        <f>Inputs!B8*1000000</f>
      </c>
      <c r="N121" s="13">
        <f>Inputs!B9</f>
      </c>
      <c r="O121" s="13">
        <f>MAX(1,SQRT(L121/MAX(M121*MAX(N121,0.01)/(1+Inputs!B11),1)))</f>
      </c>
      <c r="P121" s="13">
        <f>MIN(1,A121/12)</f>
      </c>
      <c r="Q121" s="13">
        <f>IF(Inputs!B7=1,MAX(N121,L121*(1+Inputs!B11)/MAX(M121,1)),N121+(N121*O121-N121)*P121)</f>
      </c>
      <c r="R121" s="11">
        <f>IF(Inputs!B7=1,L121*(1+Inputs!B11),M121*Q121)</f>
      </c>
      <c r="S121" s="11">
        <f>R121/(1+Inputs!B11)</f>
      </c>
      <c r="T121" s="11">
        <f>IF(Inputs!B7=1,L121,MIN(S121,L121))</f>
      </c>
      <c r="U121" s="11">
        <f>IF(Inputs!B19=1,MAX(0,T121-J121),0)</f>
      </c>
      <c r="V121" s="11">
        <f>T121*(1+Inputs!B11)</f>
      </c>
      <c r="W121" s="11">
        <f>V121-T121</f>
      </c>
      <c r="X121" s="11">
        <f>V121*Inputs!B13*MIN(12,Inputs!B10)/12</f>
      </c>
      <c r="Y121" s="11">
        <f>W121*Inputs!B14/12</f>
      </c>
      <c r="Z121" s="11">
        <f>J121+U121-T121+X121-Y121</f>
      </c>
      <c r="AA121" s="11">
        <f>D121+E121-I121+U121+X121-Y121</f>
      </c>
      <c r="AB121" s="11">
        <f>IF(U121&gt;0,AB120*(1+Inputs!B15/12)+U121,AB120*(1+Inputs!B15/12))</f>
      </c>
      <c r="AC121" s="9">
        <f>IF(Inputs!B21&gt;0,AA121/Inputs!B21,0)</f>
      </c>
      <c r="AD121" s="11">
        <f>G121+T121</f>
      </c>
      <c r="AE121" s="11">
        <f>H121+W121</f>
      </c>
      <c r="AF121" s="11">
        <f>AD121+AE121</f>
      </c>
      <c r="AG121" s="13">
        <f>IF(M121&gt;0,V121/M121,0)</f>
      </c>
      <c r="AH121" s="11">
        <f>AH120+U121</f>
      </c>
      <c r="AI121" s="8">
        <f>IFERROR((1+IRR(VSTACK($AJ$8:INDEX($AJ:$AJ,ROW()-1),-U121+AA121)))^12-1,0)</f>
      </c>
      <c r="AJ121" s="11">
        <f>-U121</f>
      </c>
    </row>
    <row r="122">
      <c r="A122" s="13">
        <f>A121+1</f>
      </c>
      <c r="B122" t="inlineStr" s="10">
        <is>
          <t>Month 115</t>
        </is>
      </c>
      <c r="C122" s="11">
        <f>Z121</f>
      </c>
      <c r="D122" s="11">
        <f>AA121</f>
      </c>
      <c r="E122" s="11">
        <f>IF(A122&lt;=12,0,INDEX($V$8:$V$127,A122-12)*Inputs!B13*MAX(0,Inputs!B10-12)/12)</f>
      </c>
      <c r="F122" s="11">
        <f>IF(A122&lt;=Inputs!B10,0,INDEX($T$8:$T$127,A122-Inputs!B10))</f>
      </c>
      <c r="G122" s="11">
        <f>AD121-F122</f>
      </c>
      <c r="H122" s="11">
        <f>AE121-IF(A122&lt;=Inputs!B10,0,INDEX($W$8:$W$127,A122-Inputs!B10))</f>
      </c>
      <c r="I122" s="11">
        <f>H122*Inputs!B14/12</f>
      </c>
      <c r="J122" s="11">
        <f>C122+E122+F122-I122</f>
      </c>
      <c r="K122" s="11">
        <f>IF(Inputs!B19=1,MAX(0,Inputs!B5*1000000000-AH121),0)</f>
      </c>
      <c r="L122" s="11">
        <f>MAX(0,J122+K122)</f>
      </c>
      <c r="M122" s="11">
        <f>Inputs!B8*1000000</f>
      </c>
      <c r="N122" s="13">
        <f>Inputs!B9</f>
      </c>
      <c r="O122" s="13">
        <f>MAX(1,SQRT(L122/MAX(M122*MAX(N122,0.01)/(1+Inputs!B11),1)))</f>
      </c>
      <c r="P122" s="13">
        <f>MIN(1,A122/12)</f>
      </c>
      <c r="Q122" s="13">
        <f>IF(Inputs!B7=1,MAX(N122,L122*(1+Inputs!B11)/MAX(M122,1)),N122+(N122*O122-N122)*P122)</f>
      </c>
      <c r="R122" s="11">
        <f>IF(Inputs!B7=1,L122*(1+Inputs!B11),M122*Q122)</f>
      </c>
      <c r="S122" s="11">
        <f>R122/(1+Inputs!B11)</f>
      </c>
      <c r="T122" s="11">
        <f>IF(Inputs!B7=1,L122,MIN(S122,L122))</f>
      </c>
      <c r="U122" s="11">
        <f>IF(Inputs!B19=1,MAX(0,T122-J122),0)</f>
      </c>
      <c r="V122" s="11">
        <f>T122*(1+Inputs!B11)</f>
      </c>
      <c r="W122" s="11">
        <f>V122-T122</f>
      </c>
      <c r="X122" s="11">
        <f>V122*Inputs!B13*MIN(12,Inputs!B10)/12</f>
      </c>
      <c r="Y122" s="11">
        <f>W122*Inputs!B14/12</f>
      </c>
      <c r="Z122" s="11">
        <f>J122+U122-T122+X122-Y122</f>
      </c>
      <c r="AA122" s="11">
        <f>D122+E122-I122+U122+X122-Y122</f>
      </c>
      <c r="AB122" s="11">
        <f>IF(U122&gt;0,AB121*(1+Inputs!B15/12)+U122,AB121*(1+Inputs!B15/12))</f>
      </c>
      <c r="AC122" s="9">
        <f>IF(Inputs!B21&gt;0,AA122/Inputs!B21,0)</f>
      </c>
      <c r="AD122" s="11">
        <f>G122+T122</f>
      </c>
      <c r="AE122" s="11">
        <f>H122+W122</f>
      </c>
      <c r="AF122" s="11">
        <f>AD122+AE122</f>
      </c>
      <c r="AG122" s="13">
        <f>IF(M122&gt;0,V122/M122,0)</f>
      </c>
      <c r="AH122" s="11">
        <f>AH121+U122</f>
      </c>
      <c r="AI122" s="8">
        <f>IFERROR((1+IRR(VSTACK($AJ$8:INDEX($AJ:$AJ,ROW()-1),-U122+AA122)))^12-1,0)</f>
      </c>
      <c r="AJ122" s="11">
        <f>-U122</f>
      </c>
    </row>
    <row r="123">
      <c r="A123" s="13">
        <f>A122+1</f>
      </c>
      <c r="B123" t="inlineStr" s="10">
        <is>
          <t>Month 116</t>
        </is>
      </c>
      <c r="C123" s="11">
        <f>Z122</f>
      </c>
      <c r="D123" s="11">
        <f>AA122</f>
      </c>
      <c r="E123" s="11">
        <f>IF(A123&lt;=12,0,INDEX($V$8:$V$127,A123-12)*Inputs!B13*MAX(0,Inputs!B10-12)/12)</f>
      </c>
      <c r="F123" s="11">
        <f>IF(A123&lt;=Inputs!B10,0,INDEX($T$8:$T$127,A123-Inputs!B10))</f>
      </c>
      <c r="G123" s="11">
        <f>AD122-F123</f>
      </c>
      <c r="H123" s="11">
        <f>AE122-IF(A123&lt;=Inputs!B10,0,INDEX($W$8:$W$127,A123-Inputs!B10))</f>
      </c>
      <c r="I123" s="11">
        <f>H123*Inputs!B14/12</f>
      </c>
      <c r="J123" s="11">
        <f>C123+E123+F123-I123</f>
      </c>
      <c r="K123" s="11">
        <f>IF(Inputs!B19=1,MAX(0,Inputs!B5*1000000000-AH122),0)</f>
      </c>
      <c r="L123" s="11">
        <f>MAX(0,J123+K123)</f>
      </c>
      <c r="M123" s="11">
        <f>Inputs!B8*1000000</f>
      </c>
      <c r="N123" s="13">
        <f>Inputs!B9</f>
      </c>
      <c r="O123" s="13">
        <f>MAX(1,SQRT(L123/MAX(M123*MAX(N123,0.01)/(1+Inputs!B11),1)))</f>
      </c>
      <c r="P123" s="13">
        <f>MIN(1,A123/12)</f>
      </c>
      <c r="Q123" s="13">
        <f>IF(Inputs!B7=1,MAX(N123,L123*(1+Inputs!B11)/MAX(M123,1)),N123+(N123*O123-N123)*P123)</f>
      </c>
      <c r="R123" s="11">
        <f>IF(Inputs!B7=1,L123*(1+Inputs!B11),M123*Q123)</f>
      </c>
      <c r="S123" s="11">
        <f>R123/(1+Inputs!B11)</f>
      </c>
      <c r="T123" s="11">
        <f>IF(Inputs!B7=1,L123,MIN(S123,L123))</f>
      </c>
      <c r="U123" s="11">
        <f>IF(Inputs!B19=1,MAX(0,T123-J123),0)</f>
      </c>
      <c r="V123" s="11">
        <f>T123*(1+Inputs!B11)</f>
      </c>
      <c r="W123" s="11">
        <f>V123-T123</f>
      </c>
      <c r="X123" s="11">
        <f>V123*Inputs!B13*MIN(12,Inputs!B10)/12</f>
      </c>
      <c r="Y123" s="11">
        <f>W123*Inputs!B14/12</f>
      </c>
      <c r="Z123" s="11">
        <f>J123+U123-T123+X123-Y123</f>
      </c>
      <c r="AA123" s="11">
        <f>D123+E123-I123+U123+X123-Y123</f>
      </c>
      <c r="AB123" s="11">
        <f>IF(U123&gt;0,AB122*(1+Inputs!B15/12)+U123,AB122*(1+Inputs!B15/12))</f>
      </c>
      <c r="AC123" s="9">
        <f>IF(Inputs!B21&gt;0,AA123/Inputs!B21,0)</f>
      </c>
      <c r="AD123" s="11">
        <f>G123+T123</f>
      </c>
      <c r="AE123" s="11">
        <f>H123+W123</f>
      </c>
      <c r="AF123" s="11">
        <f>AD123+AE123</f>
      </c>
      <c r="AG123" s="13">
        <f>IF(M123&gt;0,V123/M123,0)</f>
      </c>
      <c r="AH123" s="11">
        <f>AH122+U123</f>
      </c>
      <c r="AI123" s="8">
        <f>IFERROR((1+IRR(VSTACK($AJ$8:INDEX($AJ:$AJ,ROW()-1),-U123+AA123)))^12-1,0)</f>
      </c>
      <c r="AJ123" s="11">
        <f>-U123</f>
      </c>
    </row>
    <row r="124">
      <c r="A124" s="13">
        <f>A123+1</f>
      </c>
      <c r="B124" t="inlineStr" s="10">
        <is>
          <t>Month 117</t>
        </is>
      </c>
      <c r="C124" s="11">
        <f>Z123</f>
      </c>
      <c r="D124" s="11">
        <f>AA123</f>
      </c>
      <c r="E124" s="11">
        <f>IF(A124&lt;=12,0,INDEX($V$8:$V$127,A124-12)*Inputs!B13*MAX(0,Inputs!B10-12)/12)</f>
      </c>
      <c r="F124" s="11">
        <f>IF(A124&lt;=Inputs!B10,0,INDEX($T$8:$T$127,A124-Inputs!B10))</f>
      </c>
      <c r="G124" s="11">
        <f>AD123-F124</f>
      </c>
      <c r="H124" s="11">
        <f>AE123-IF(A124&lt;=Inputs!B10,0,INDEX($W$8:$W$127,A124-Inputs!B10))</f>
      </c>
      <c r="I124" s="11">
        <f>H124*Inputs!B14/12</f>
      </c>
      <c r="J124" s="11">
        <f>C124+E124+F124-I124</f>
      </c>
      <c r="K124" s="11">
        <f>IF(Inputs!B19=1,MAX(0,Inputs!B5*1000000000-AH123),0)</f>
      </c>
      <c r="L124" s="11">
        <f>MAX(0,J124+K124)</f>
      </c>
      <c r="M124" s="11">
        <f>Inputs!B8*1000000</f>
      </c>
      <c r="N124" s="13">
        <f>Inputs!B9</f>
      </c>
      <c r="O124" s="13">
        <f>MAX(1,SQRT(L124/MAX(M124*MAX(N124,0.01)/(1+Inputs!B11),1)))</f>
      </c>
      <c r="P124" s="13">
        <f>MIN(1,A124/12)</f>
      </c>
      <c r="Q124" s="13">
        <f>IF(Inputs!B7=1,MAX(N124,L124*(1+Inputs!B11)/MAX(M124,1)),N124+(N124*O124-N124)*P124)</f>
      </c>
      <c r="R124" s="11">
        <f>IF(Inputs!B7=1,L124*(1+Inputs!B11),M124*Q124)</f>
      </c>
      <c r="S124" s="11">
        <f>R124/(1+Inputs!B11)</f>
      </c>
      <c r="T124" s="11">
        <f>IF(Inputs!B7=1,L124,MIN(S124,L124))</f>
      </c>
      <c r="U124" s="11">
        <f>IF(Inputs!B19=1,MAX(0,T124-J124),0)</f>
      </c>
      <c r="V124" s="11">
        <f>T124*(1+Inputs!B11)</f>
      </c>
      <c r="W124" s="11">
        <f>V124-T124</f>
      </c>
      <c r="X124" s="11">
        <f>V124*Inputs!B13*MIN(12,Inputs!B10)/12</f>
      </c>
      <c r="Y124" s="11">
        <f>W124*Inputs!B14/12</f>
      </c>
      <c r="Z124" s="11">
        <f>J124+U124-T124+X124-Y124</f>
      </c>
      <c r="AA124" s="11">
        <f>D124+E124-I124+U124+X124-Y124</f>
      </c>
      <c r="AB124" s="11">
        <f>IF(U124&gt;0,AB123*(1+Inputs!B15/12)+U124,AB123*(1+Inputs!B15/12))</f>
      </c>
      <c r="AC124" s="9">
        <f>IF(Inputs!B21&gt;0,AA124/Inputs!B21,0)</f>
      </c>
      <c r="AD124" s="11">
        <f>G124+T124</f>
      </c>
      <c r="AE124" s="11">
        <f>H124+W124</f>
      </c>
      <c r="AF124" s="11">
        <f>AD124+AE124</f>
      </c>
      <c r="AG124" s="13">
        <f>IF(M124&gt;0,V124/M124,0)</f>
      </c>
      <c r="AH124" s="11">
        <f>AH123+U124</f>
      </c>
      <c r="AI124" s="8">
        <f>IFERROR((1+IRR(VSTACK($AJ$8:INDEX($AJ:$AJ,ROW()-1),-U124+AA124)))^12-1,0)</f>
      </c>
      <c r="AJ124" s="11">
        <f>-U124</f>
      </c>
    </row>
    <row r="125">
      <c r="A125" s="13">
        <f>A124+1</f>
      </c>
      <c r="B125" t="inlineStr" s="10">
        <is>
          <t>Month 118</t>
        </is>
      </c>
      <c r="C125" s="11">
        <f>Z124</f>
      </c>
      <c r="D125" s="11">
        <f>AA124</f>
      </c>
      <c r="E125" s="11">
        <f>IF(A125&lt;=12,0,INDEX($V$8:$V$127,A125-12)*Inputs!B13*MAX(0,Inputs!B10-12)/12)</f>
      </c>
      <c r="F125" s="11">
        <f>IF(A125&lt;=Inputs!B10,0,INDEX($T$8:$T$127,A125-Inputs!B10))</f>
      </c>
      <c r="G125" s="11">
        <f>AD124-F125</f>
      </c>
      <c r="H125" s="11">
        <f>AE124-IF(A125&lt;=Inputs!B10,0,INDEX($W$8:$W$127,A125-Inputs!B10))</f>
      </c>
      <c r="I125" s="11">
        <f>H125*Inputs!B14/12</f>
      </c>
      <c r="J125" s="11">
        <f>C125+E125+F125-I125</f>
      </c>
      <c r="K125" s="11">
        <f>IF(Inputs!B19=1,MAX(0,Inputs!B5*1000000000-AH124),0)</f>
      </c>
      <c r="L125" s="11">
        <f>MAX(0,J125+K125)</f>
      </c>
      <c r="M125" s="11">
        <f>Inputs!B8*1000000</f>
      </c>
      <c r="N125" s="13">
        <f>Inputs!B9</f>
      </c>
      <c r="O125" s="13">
        <f>MAX(1,SQRT(L125/MAX(M125*MAX(N125,0.01)/(1+Inputs!B11),1)))</f>
      </c>
      <c r="P125" s="13">
        <f>MIN(1,A125/12)</f>
      </c>
      <c r="Q125" s="13">
        <f>IF(Inputs!B7=1,MAX(N125,L125*(1+Inputs!B11)/MAX(M125,1)),N125+(N125*O125-N125)*P125)</f>
      </c>
      <c r="R125" s="11">
        <f>IF(Inputs!B7=1,L125*(1+Inputs!B11),M125*Q125)</f>
      </c>
      <c r="S125" s="11">
        <f>R125/(1+Inputs!B11)</f>
      </c>
      <c r="T125" s="11">
        <f>IF(Inputs!B7=1,L125,MIN(S125,L125))</f>
      </c>
      <c r="U125" s="11">
        <f>IF(Inputs!B19=1,MAX(0,T125-J125),0)</f>
      </c>
      <c r="V125" s="11">
        <f>T125*(1+Inputs!B11)</f>
      </c>
      <c r="W125" s="11">
        <f>V125-T125</f>
      </c>
      <c r="X125" s="11">
        <f>V125*Inputs!B13*MIN(12,Inputs!B10)/12</f>
      </c>
      <c r="Y125" s="11">
        <f>W125*Inputs!B14/12</f>
      </c>
      <c r="Z125" s="11">
        <f>J125+U125-T125+X125-Y125</f>
      </c>
      <c r="AA125" s="11">
        <f>D125+E125-I125+U125+X125-Y125</f>
      </c>
      <c r="AB125" s="11">
        <f>IF(U125&gt;0,AB124*(1+Inputs!B15/12)+U125,AB124*(1+Inputs!B15/12))</f>
      </c>
      <c r="AC125" s="9">
        <f>IF(Inputs!B21&gt;0,AA125/Inputs!B21,0)</f>
      </c>
      <c r="AD125" s="11">
        <f>G125+T125</f>
      </c>
      <c r="AE125" s="11">
        <f>H125+W125</f>
      </c>
      <c r="AF125" s="11">
        <f>AD125+AE125</f>
      </c>
      <c r="AG125" s="13">
        <f>IF(M125&gt;0,V125/M125,0)</f>
      </c>
      <c r="AH125" s="11">
        <f>AH124+U125</f>
      </c>
      <c r="AI125" s="8">
        <f>IFERROR((1+IRR(VSTACK($AJ$8:INDEX($AJ:$AJ,ROW()-1),-U125+AA125)))^12-1,0)</f>
      </c>
      <c r="AJ125" s="11">
        <f>-U125</f>
      </c>
    </row>
    <row r="126">
      <c r="A126" s="13">
        <f>A125+1</f>
      </c>
      <c r="B126" t="inlineStr" s="10">
        <is>
          <t>Month 119</t>
        </is>
      </c>
      <c r="C126" s="11">
        <f>Z125</f>
      </c>
      <c r="D126" s="11">
        <f>AA125</f>
      </c>
      <c r="E126" s="11">
        <f>IF(A126&lt;=12,0,INDEX($V$8:$V$127,A126-12)*Inputs!B13*MAX(0,Inputs!B10-12)/12)</f>
      </c>
      <c r="F126" s="11">
        <f>IF(A126&lt;=Inputs!B10,0,INDEX($T$8:$T$127,A126-Inputs!B10))</f>
      </c>
      <c r="G126" s="11">
        <f>AD125-F126</f>
      </c>
      <c r="H126" s="11">
        <f>AE125-IF(A126&lt;=Inputs!B10,0,INDEX($W$8:$W$127,A126-Inputs!B10))</f>
      </c>
      <c r="I126" s="11">
        <f>H126*Inputs!B14/12</f>
      </c>
      <c r="J126" s="11">
        <f>C126+E126+F126-I126</f>
      </c>
      <c r="K126" s="11">
        <f>IF(Inputs!B19=1,MAX(0,Inputs!B5*1000000000-AH125),0)</f>
      </c>
      <c r="L126" s="11">
        <f>MAX(0,J126+K126)</f>
      </c>
      <c r="M126" s="11">
        <f>Inputs!B8*1000000</f>
      </c>
      <c r="N126" s="13">
        <f>Inputs!B9</f>
      </c>
      <c r="O126" s="13">
        <f>MAX(1,SQRT(L126/MAX(M126*MAX(N126,0.01)/(1+Inputs!B11),1)))</f>
      </c>
      <c r="P126" s="13">
        <f>MIN(1,A126/12)</f>
      </c>
      <c r="Q126" s="13">
        <f>IF(Inputs!B7=1,MAX(N126,L126*(1+Inputs!B11)/MAX(M126,1)),N126+(N126*O126-N126)*P126)</f>
      </c>
      <c r="R126" s="11">
        <f>IF(Inputs!B7=1,L126*(1+Inputs!B11),M126*Q126)</f>
      </c>
      <c r="S126" s="11">
        <f>R126/(1+Inputs!B11)</f>
      </c>
      <c r="T126" s="11">
        <f>IF(Inputs!B7=1,L126,MIN(S126,L126))</f>
      </c>
      <c r="U126" s="11">
        <f>IF(Inputs!B19=1,MAX(0,T126-J126),0)</f>
      </c>
      <c r="V126" s="11">
        <f>T126*(1+Inputs!B11)</f>
      </c>
      <c r="W126" s="11">
        <f>V126-T126</f>
      </c>
      <c r="X126" s="11">
        <f>V126*Inputs!B13*MIN(12,Inputs!B10)/12</f>
      </c>
      <c r="Y126" s="11">
        <f>W126*Inputs!B14/12</f>
      </c>
      <c r="Z126" s="11">
        <f>J126+U126-T126+X126-Y126</f>
      </c>
      <c r="AA126" s="11">
        <f>D126+E126-I126+U126+X126-Y126</f>
      </c>
      <c r="AB126" s="11">
        <f>IF(U126&gt;0,AB125*(1+Inputs!B15/12)+U126,AB125*(1+Inputs!B15/12))</f>
      </c>
      <c r="AC126" s="9">
        <f>IF(Inputs!B21&gt;0,AA126/Inputs!B21,0)</f>
      </c>
      <c r="AD126" s="11">
        <f>G126+T126</f>
      </c>
      <c r="AE126" s="11">
        <f>H126+W126</f>
      </c>
      <c r="AF126" s="11">
        <f>AD126+AE126</f>
      </c>
      <c r="AG126" s="13">
        <f>IF(M126&gt;0,V126/M126,0)</f>
      </c>
      <c r="AH126" s="11">
        <f>AH125+U126</f>
      </c>
      <c r="AI126" s="8">
        <f>IFERROR((1+IRR(VSTACK($AJ$8:INDEX($AJ:$AJ,ROW()-1),-U126+AA126)))^12-1,0)</f>
      </c>
      <c r="AJ126" s="11">
        <f>-U126</f>
      </c>
    </row>
    <row r="127">
      <c r="A127" s="13">
        <f>A126+1</f>
      </c>
      <c r="B127" t="inlineStr" s="10">
        <is>
          <t>Month 120</t>
        </is>
      </c>
      <c r="C127" s="11">
        <f>Z126</f>
      </c>
      <c r="D127" s="11">
        <f>AA126</f>
      </c>
      <c r="E127" s="11">
        <f>IF(A127&lt;=12,0,INDEX($V$8:$V$127,A127-12)*Inputs!B13*MAX(0,Inputs!B10-12)/12)</f>
      </c>
      <c r="F127" s="11">
        <f>IF(A127&lt;=Inputs!B10,0,INDEX($T$8:$T$127,A127-Inputs!B10))</f>
      </c>
      <c r="G127" s="11">
        <f>AD126-F127</f>
      </c>
      <c r="H127" s="11">
        <f>AE126-IF(A127&lt;=Inputs!B10,0,INDEX($W$8:$W$127,A127-Inputs!B10))</f>
      </c>
      <c r="I127" s="11">
        <f>H127*Inputs!B14/12</f>
      </c>
      <c r="J127" s="11">
        <f>C127+E127+F127-I127</f>
      </c>
      <c r="K127" s="11">
        <f>IF(Inputs!B19=1,MAX(0,Inputs!B5*1000000000-AH126),0)</f>
      </c>
      <c r="L127" s="11">
        <f>MAX(0,J127+K127)</f>
      </c>
      <c r="M127" s="11">
        <f>Inputs!B8*1000000</f>
      </c>
      <c r="N127" s="13">
        <f>Inputs!B9</f>
      </c>
      <c r="O127" s="13">
        <f>MAX(1,SQRT(L127/MAX(M127*MAX(N127,0.01)/(1+Inputs!B11),1)))</f>
      </c>
      <c r="P127" s="13">
        <f>MIN(1,A127/12)</f>
      </c>
      <c r="Q127" s="13">
        <f>IF(Inputs!B7=1,MAX(N127,L127*(1+Inputs!B11)/MAX(M127,1)),N127+(N127*O127-N127)*P127)</f>
      </c>
      <c r="R127" s="11">
        <f>IF(Inputs!B7=1,L127*(1+Inputs!B11),M127*Q127)</f>
      </c>
      <c r="S127" s="11">
        <f>R127/(1+Inputs!B11)</f>
      </c>
      <c r="T127" s="11">
        <f>IF(Inputs!B7=1,L127,MIN(S127,L127))</f>
      </c>
      <c r="U127" s="11">
        <f>IF(Inputs!B19=1,MAX(0,T127-J127),0)</f>
      </c>
      <c r="V127" s="11">
        <f>T127*(1+Inputs!B11)</f>
      </c>
      <c r="W127" s="11">
        <f>V127-T127</f>
      </c>
      <c r="X127" s="11">
        <f>V127*Inputs!B13*MIN(12,Inputs!B10)/12</f>
      </c>
      <c r="Y127" s="11">
        <f>W127*Inputs!B14/12</f>
      </c>
      <c r="Z127" s="11">
        <f>J127+U127-T127+X127-Y127</f>
      </c>
      <c r="AA127" s="11">
        <f>D127+E127-I127+U127+X127-Y127</f>
      </c>
      <c r="AB127" s="11">
        <f>IF(U127&gt;0,AB126*(1+Inputs!B15/12)+U127,AB126*(1+Inputs!B15/12))</f>
      </c>
      <c r="AC127" s="9">
        <f>IF(Inputs!B21&gt;0,AA127/Inputs!B21,0)</f>
      </c>
      <c r="AD127" s="11">
        <f>G127+T127</f>
      </c>
      <c r="AE127" s="11">
        <f>H127+W127</f>
      </c>
      <c r="AF127" s="11">
        <f>AD127+AE127</f>
      </c>
      <c r="AG127" s="13">
        <f>IF(M127&gt;0,V127/M127,0)</f>
      </c>
      <c r="AH127" s="11">
        <f>AH126+U127</f>
      </c>
      <c r="AI127" s="8">
        <f>IFERROR((1+IRR(VSTACK($AJ$8:INDEX($AJ:$AJ,ROW()-1),-U127+AA127)))^12-1,0)</f>
      </c>
      <c r="AJ127" s="11">
        <f>-U127</f>
      </c>
    </row>
  </sheetData>
  <autoFilter ref="A6:AJ127"/>
  <mergeCells count="2">
    <mergeCell ref="A1:AJ1"/>
    <mergeCell ref="A2:AJ2"/>
  </mergeCells>
  <pageMargins left="0.3" right="0.3" top="0.5" bottom="0.5" header="0.3" footer="0.3"/>
</worksheet>
</file>

<file path=xl/worksheets/sheet4.xml><?xml version="1.0" encoding="utf-8"?>
<worksheet xmlns="http://schemas.openxmlformats.org/spreadsheetml/2006/main" xmlns:r="http://schemas.openxmlformats.org/officeDocument/2006/relationships">
  <dimension ref="A1:B9"/>
  <sheetViews>
    <sheetView workbookViewId="0"/>
  </sheetViews>
  <cols>
    <col min="1" max="1" width="28" customWidth="1"/>
    <col min="2" max="2" width="90" customWidth="1"/>
  </cols>
  <sheetData>
    <row r="1">
      <c r="A1" t="inlineStr" s="1">
        <is>
          <t>Model Notes</t>
        </is>
      </c>
    </row>
    <row r="2">
      <c r="A2" t="inlineStr" s="10">
        <is>
          <t>Contact Reif Tauati · 4176197004 · reif@thegoodproject.net</t>
        </is>
      </c>
    </row>
    <row r="4">
      <c r="A4" t="inlineStr" s="3">
        <is>
          <t>What is modeled?</t>
        </is>
      </c>
      <c r="B4" t="inlineStr" s="10">
        <is>
          <t>This workbook mirrors the deterministic monthly Fund One model from /model over 120 months.</t>
        </is>
      </c>
    </row>
    <row r="5">
      <c r="A5" t="inlineStr" s="3">
        <is>
          <t>Capital calls</t>
        </is>
      </c>
      <c r="B5" t="inlineStr" s="10">
        <is>
          <t>If Capital Calls On = 1 and Hardcore Mode = 0, LP capital is called only when needed. If Hardcore Mode = 1, the workbook assumes the full fund is funded upfront and redeployed immediately as cash returns.</t>
        </is>
      </c>
    </row>
    <row r="6">
      <c r="A6" t="inlineStr" s="3">
        <is>
          <t>Borrower Rate vs Fund Take</t>
        </is>
      </c>
      <c r="B6" t="inlineStr" s="10">
        <is>
          <t>Borrower Rate is what the developer pays. Fund Take is the retained APY inside the fund after origination partners are paid.</t>
        </is>
      </c>
    </row>
    <row r="7">
      <c r="A7" t="inlineStr" s="3">
        <is>
          <t>Debt / Equity</t>
        </is>
      </c>
      <c r="B7" t="inlineStr" s="10">
        <is>
          <t>A value of 0.25 means each $1.00 of LP equity supports $1.25 of loans through $0.25 of debt.</t>
        </is>
      </c>
    </row>
    <row r="8">
      <c r="A8" t="inlineStr" s="3">
        <is>
          <t>How origination scales</t>
        </is>
      </c>
      <c r="B8" t="inlineStr" s="10">
        <is>
          <t>Desired origination volume is driven by pipeline capacity and deployable capital. In normal mode the model ramps scaling over 12 months. Hardcore Mode removes that gentler ramp and pushes available cash out immediately.</t>
        </is>
      </c>
    </row>
    <row r="9">
      <c r="A9" t="inlineStr" s="3">
        <is>
          <t>IRR</t>
        </is>
      </c>
      <c r="B9" t="inlineStr" s="10">
        <is>
          <t>Projected IRR is solved from LP cash calls and terminal NAV. The Monthly_Model sheet also includes an IRR To Date column.</t>
        </is>
      </c>
    </row>
  </sheetData>
  <mergeCells count="2">
    <mergeCell ref="A1:B1"/>
    <mergeCell ref="A2:B2"/>
  </mergeCells>
  <pageMargins left="0.3" right="0.3" top="0.5" bottom="0.5" header="0.3" footer="0.3"/>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TGP Fund One Model</dc:title>
  <dc:creator>Reif Tauati</dc:creator>
  <cp:lastModifiedBy>OpenAI Codex</cp:lastModifiedBy>
  <dcterms:created xsi:type="dcterms:W3CDTF">2026-04-03T21:11:23Z</dcterms:created>
  <dcterms:modified xsi:type="dcterms:W3CDTF">2026-04-03T21:11:23Z</dcterms:modified>
</cp:coreProperties>
</file>